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026cb94142d8e51/Bucknell University/Spring 2026/ECON 441/Research Assignment/"/>
    </mc:Choice>
  </mc:AlternateContent>
  <xr:revisionPtr revIDLastSave="97" documentId="8_{FDCB332C-82F1-4BB6-A506-61EAEE51E177}" xr6:coauthVersionLast="47" xr6:coauthVersionMax="47" xr10:uidLastSave="{F17AD6A1-B417-491D-A4A9-81A6D26C2245}"/>
  <bookViews>
    <workbookView xWindow="-108" yWindow="-108" windowWidth="23256" windowHeight="12456" xr2:uid="{C20D41C6-FF82-478A-B2EE-3FC086F592A0}"/>
  </bookViews>
  <sheets>
    <sheet name="Hard coded" sheetId="4" r:id="rId1"/>
    <sheet name="sp500_completed" sheetId="1" r:id="rId2"/>
    <sheet name="Sheet2" sheetId="3" r:id="rId3"/>
    <sheet name="Sheet1" sheetId="2" r:id="rId4"/>
  </sheets>
  <definedNames>
    <definedName name="U">'Hard coded'!$U$1</definedName>
  </definedNames>
  <calcPr calcId="191028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2" i="1"/>
  <c r="N2" i="1" a="1"/>
  <c r="N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2" i="1"/>
  <c r="S150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2" i="1"/>
  <c r="I478" i="1"/>
  <c r="K478" i="1"/>
  <c r="B478" i="1"/>
  <c r="H48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<sst xmlns="http://schemas.openxmlformats.org/spreadsheetml/2006/main" count="10221" uniqueCount="2930">
  <si>
    <t>Company Name</t>
  </si>
  <si>
    <t>Name</t>
  </si>
  <si>
    <t>Exchange</t>
  </si>
  <si>
    <t>Ticker</t>
  </si>
  <si>
    <t>Index Constituents [Primary Listing]</t>
  </si>
  <si>
    <t>Industry Classifications (Primary)</t>
  </si>
  <si>
    <t>Financial Sector (1 = yes, 0 = no)</t>
  </si>
  <si>
    <t>Number of Employees - Global (Latest)</t>
  </si>
  <si>
    <t>female CEO</t>
  </si>
  <si>
    <t>CEO</t>
  </si>
  <si>
    <t>Female (1 = yes, 0 = no)</t>
  </si>
  <si>
    <t>Year Founded</t>
  </si>
  <si>
    <t>Market Capitalization [My Setting] [Latest] ($USDmm, Historical rate)</t>
  </si>
  <si>
    <t>Total Enterprise Value [Latest] ($USDmm, Historical rate)</t>
  </si>
  <si>
    <t>EBITDA [LTM] ($USDmm, Historical rate)</t>
  </si>
  <si>
    <t>EV/EBITDA[LTM]</t>
  </si>
  <si>
    <t>Total Revenue [LTM] ($USDmm, Historical rate)</t>
  </si>
  <si>
    <t>EBITDA Margin</t>
  </si>
  <si>
    <t>3M Company (NYSE:MMM)</t>
  </si>
  <si>
    <t>3M Company</t>
  </si>
  <si>
    <t>NYSE</t>
  </si>
  <si>
    <t>MMM</t>
  </si>
  <si>
    <t>S&amp;P 500</t>
  </si>
  <si>
    <t>Industrials</t>
  </si>
  <si>
    <t>William Brown</t>
  </si>
  <si>
    <t>A. O. Smith Corporation (NYSE:AOS)</t>
  </si>
  <si>
    <t>A. O. Smith Corporation</t>
  </si>
  <si>
    <t>AOS</t>
  </si>
  <si>
    <t xml:space="preserve">Industrials </t>
  </si>
  <si>
    <t>Kurt Kempthorne</t>
  </si>
  <si>
    <t>Abbott Laboratories (NYSE:ABT)</t>
  </si>
  <si>
    <t>Abbott Laboratories</t>
  </si>
  <si>
    <t>ABT</t>
  </si>
  <si>
    <t xml:space="preserve">Health Care </t>
  </si>
  <si>
    <t>Robert Ford</t>
  </si>
  <si>
    <t>AbbVie Inc. (NYSE:ABBV)</t>
  </si>
  <si>
    <t>AbbVie Inc.</t>
  </si>
  <si>
    <t>ABBV</t>
  </si>
  <si>
    <t>Robert Michael</t>
  </si>
  <si>
    <t>Adobe Inc. (NasdaqGS:ADBE)</t>
  </si>
  <si>
    <t>Adobe Inc.</t>
  </si>
  <si>
    <t>NasdaqGS</t>
  </si>
  <si>
    <t>ADBE</t>
  </si>
  <si>
    <t xml:space="preserve">Information Technology </t>
  </si>
  <si>
    <t>Shantanu Narayen</t>
  </si>
  <si>
    <t>Advanced Micro Devices, Inc. (NasdaqGS:AMD)</t>
  </si>
  <si>
    <t>Advanced Micro Devices, Inc.</t>
  </si>
  <si>
    <t>AMD</t>
  </si>
  <si>
    <t>Lisa T. Su</t>
  </si>
  <si>
    <t>Lisa Su</t>
  </si>
  <si>
    <t>Aflac Incorporated (NYSE:AFL)</t>
  </si>
  <si>
    <t>Aflac Incorporated</t>
  </si>
  <si>
    <t>AFL</t>
  </si>
  <si>
    <t xml:space="preserve">Financials </t>
  </si>
  <si>
    <t>Daniel Amos</t>
  </si>
  <si>
    <t>Agilent Technologies, Inc. (NYSE:A)</t>
  </si>
  <si>
    <t>Agilent Technologies, Inc.</t>
  </si>
  <si>
    <t>A</t>
  </si>
  <si>
    <t>Padraig McDonnell</t>
  </si>
  <si>
    <t>Air Products and Chemicals, Inc. (NYSE:APD)</t>
  </si>
  <si>
    <t>Air Products and Chemicals, Inc.</t>
  </si>
  <si>
    <t>APD</t>
  </si>
  <si>
    <t xml:space="preserve">Materials </t>
  </si>
  <si>
    <t>Eduardo Menezes</t>
  </si>
  <si>
    <t>Airbnb, Inc. (NasdaqGS:ABNB)</t>
  </si>
  <si>
    <t>Airbnb, Inc.</t>
  </si>
  <si>
    <t>ABNB</t>
  </si>
  <si>
    <t xml:space="preserve">Consumer Discretionary </t>
  </si>
  <si>
    <t>Brian Chesky</t>
  </si>
  <si>
    <t>Akamai Technologies, Inc. (NasdaqGS:AKAM)</t>
  </si>
  <si>
    <t>Akamai Technologies, Inc.</t>
  </si>
  <si>
    <t>AKAM</t>
  </si>
  <si>
    <t>F. Thomson Leighton</t>
  </si>
  <si>
    <t>Albemarle Corporation (NYSE:ALB)</t>
  </si>
  <si>
    <t>Albemarle Corporation</t>
  </si>
  <si>
    <t>ALB</t>
  </si>
  <si>
    <t>Kent Masters</t>
  </si>
  <si>
    <t>Alexandria Real Estate Equities, Inc. (NYSE:ARE)</t>
  </si>
  <si>
    <t>Alexandria Real Estate Equities, Inc.</t>
  </si>
  <si>
    <t>ARE</t>
  </si>
  <si>
    <t xml:space="preserve">Real Estate </t>
  </si>
  <si>
    <t>Peter Moglia</t>
  </si>
  <si>
    <t>Align Technology, Inc. (NasdaqGS:ALGN)</t>
  </si>
  <si>
    <t>Align Technology, Inc.</t>
  </si>
  <si>
    <t>ALGN</t>
  </si>
  <si>
    <t>Joe Hogan</t>
  </si>
  <si>
    <t>Alliant Energy Corporation (NasdaqGS:LNT)</t>
  </si>
  <si>
    <t>Alliant Energy Corporation</t>
  </si>
  <si>
    <t>LNT</t>
  </si>
  <si>
    <t xml:space="preserve">Utilities </t>
  </si>
  <si>
    <t>Lisa Barton</t>
  </si>
  <si>
    <t>-</t>
  </si>
  <si>
    <t>Alphabet Inc. (NasdaqGS:GOOGL)</t>
  </si>
  <si>
    <t>Alphabet Inc.</t>
  </si>
  <si>
    <t>GOOGL</t>
  </si>
  <si>
    <t xml:space="preserve">Communication Services </t>
  </si>
  <si>
    <t>Sundar Pichai</t>
  </si>
  <si>
    <t>Altria Group, Inc. (NYSE:MO)</t>
  </si>
  <si>
    <t>Altria Group, Inc.</t>
  </si>
  <si>
    <t>MO</t>
  </si>
  <si>
    <t xml:space="preserve">Consumer Staples </t>
  </si>
  <si>
    <t>Billy Gifford</t>
  </si>
  <si>
    <t>Amazon.com, Inc. (NasdaqGS:AMZN)</t>
  </si>
  <si>
    <t>Amazon.com, Inc.</t>
  </si>
  <si>
    <t>AMZN</t>
  </si>
  <si>
    <t>Andrew Jassy</t>
  </si>
  <si>
    <t>Ameren Corporation (NYSE:AEE)</t>
  </si>
  <si>
    <t>Ameren Corporation</t>
  </si>
  <si>
    <t>AEE</t>
  </si>
  <si>
    <t>Martin Lyons</t>
  </si>
  <si>
    <t>American Electric Power Company, Inc. (NasdaqGS:AEP)</t>
  </si>
  <si>
    <t>American Electric Power Company, Inc.</t>
  </si>
  <si>
    <t>AEP</t>
  </si>
  <si>
    <t>William Fehrman</t>
  </si>
  <si>
    <t>American Express Company (NYSE:AXP)</t>
  </si>
  <si>
    <t>American Express Company</t>
  </si>
  <si>
    <t>AXP</t>
  </si>
  <si>
    <t>Stephen Squeri</t>
  </si>
  <si>
    <t>American International Group, Inc. (NYSE:AIG)</t>
  </si>
  <si>
    <t>American International Group, Inc.</t>
  </si>
  <si>
    <t>AIG</t>
  </si>
  <si>
    <t>Peter Zaffino</t>
  </si>
  <si>
    <t>American Tower Corporation (NYSE:AMT)</t>
  </si>
  <si>
    <t>American Tower Corporation</t>
  </si>
  <si>
    <t>AMT</t>
  </si>
  <si>
    <t>Steven Vondran</t>
  </si>
  <si>
    <t>American Water Works Company, Inc. (NYSE:AWK)</t>
  </si>
  <si>
    <t>American Water Works Company, Inc.</t>
  </si>
  <si>
    <t>AWK</t>
  </si>
  <si>
    <t>M. Susan Hardwick</t>
  </si>
  <si>
    <t>Ameriprise Financial, Inc. (NYSE:AMP)</t>
  </si>
  <si>
    <t>Ameriprise Financial, Inc.</t>
  </si>
  <si>
    <t>AMP</t>
  </si>
  <si>
    <t>James Cracchiolo</t>
  </si>
  <si>
    <t>AMETEK, Inc. (NYSE:AME)</t>
  </si>
  <si>
    <t>AMETEK, Inc.</t>
  </si>
  <si>
    <t>AME</t>
  </si>
  <si>
    <t>David Zapico</t>
  </si>
  <si>
    <t>Amgen Inc. (NasdaqGS:AMGN)</t>
  </si>
  <si>
    <t>Amgen Inc.</t>
  </si>
  <si>
    <t>AMGN</t>
  </si>
  <si>
    <t>Robert Bradway</t>
  </si>
  <si>
    <t>Amphenol Corporation (NYSE:APH)</t>
  </si>
  <si>
    <t>Amphenol Corporation</t>
  </si>
  <si>
    <t>APH</t>
  </si>
  <si>
    <t>Adam Norwitt</t>
  </si>
  <si>
    <t>Analog Devices, Inc. (NasdaqGS:ADI)</t>
  </si>
  <si>
    <t>Analog Devices, Inc.</t>
  </si>
  <si>
    <t>ADI</t>
  </si>
  <si>
    <t>Vincent Roche</t>
  </si>
  <si>
    <t>APA Corporation (NasdaqGS:APA)</t>
  </si>
  <si>
    <t>APA Corporation</t>
  </si>
  <si>
    <t>APA</t>
  </si>
  <si>
    <t xml:space="preserve">Energy </t>
  </si>
  <si>
    <t>John Christmann IV</t>
  </si>
  <si>
    <t>Apollo Global Management, Inc. (NYSE:APO)</t>
  </si>
  <si>
    <t>Apollo Global Management, Inc.</t>
  </si>
  <si>
    <t>APO</t>
  </si>
  <si>
    <t>Marc Rowan</t>
  </si>
  <si>
    <t>Apple Inc. (NasdaqGS:AAPL)</t>
  </si>
  <si>
    <t>Apple Inc.</t>
  </si>
  <si>
    <t>AAPL</t>
  </si>
  <si>
    <t>Timothy Cook</t>
  </si>
  <si>
    <t>Applied Materials, Inc. (NasdaqGS:AMAT)</t>
  </si>
  <si>
    <t>Applied Materials, Inc.</t>
  </si>
  <si>
    <t>AMAT</t>
  </si>
  <si>
    <t>Gary Dickerson</t>
  </si>
  <si>
    <t>AppLovin Corporation (NasdaqGS:APP)</t>
  </si>
  <si>
    <t>AppLovin Corporation</t>
  </si>
  <si>
    <t>APP</t>
  </si>
  <si>
    <t>Adam Foroughi</t>
  </si>
  <si>
    <t>Archer-Daniels-Midland Company (NYSE:ADM)</t>
  </si>
  <si>
    <t>Archer-Daniels-Midland Company</t>
  </si>
  <si>
    <t>ADM</t>
  </si>
  <si>
    <t>Juan Luciano</t>
  </si>
  <si>
    <t>Ares Management Corporation (NYSE:ARES)</t>
  </si>
  <si>
    <t>Ares Management Corporation</t>
  </si>
  <si>
    <t>ARES</t>
  </si>
  <si>
    <t>Michael Arougheti</t>
  </si>
  <si>
    <t>Arista Networks, Inc. (NYSE:ANET)</t>
  </si>
  <si>
    <t>Arista Networks, Inc.</t>
  </si>
  <si>
    <t>ANET</t>
  </si>
  <si>
    <t>Jayshree Ullal</t>
  </si>
  <si>
    <t>Arthur J. Gallagher &amp; Co. (NYSE:AJG)</t>
  </si>
  <si>
    <t>Arthur J. Gallagher &amp; Co.</t>
  </si>
  <si>
    <t>AJG</t>
  </si>
  <si>
    <t>Patrick Gallagher Jr.</t>
  </si>
  <si>
    <t>Assurant, Inc. (NYSE:AIZ)</t>
  </si>
  <si>
    <t>Assurant, Inc.</t>
  </si>
  <si>
    <t>AIZ</t>
  </si>
  <si>
    <t>Keith Demmings</t>
  </si>
  <si>
    <t>AT&amp;T Inc. (NYSE:T)</t>
  </si>
  <si>
    <t>AT&amp;T Inc.</t>
  </si>
  <si>
    <t>T</t>
  </si>
  <si>
    <t>John Stankey</t>
  </si>
  <si>
    <t>Atmos Energy Corporation (NYSE:ATO)</t>
  </si>
  <si>
    <t>Atmos Energy Corporation</t>
  </si>
  <si>
    <t>ATO</t>
  </si>
  <si>
    <t>Kevin Akers</t>
  </si>
  <si>
    <t>Autodesk, Inc. (NasdaqGS:ADSK)</t>
  </si>
  <si>
    <t>Autodesk, Inc.</t>
  </si>
  <si>
    <t>ADSK</t>
  </si>
  <si>
    <t>Andrew Anagnost</t>
  </si>
  <si>
    <t>Automatic Data Processing, Inc. (NasdaqGS:ADP)</t>
  </si>
  <si>
    <t>Automatic Data Processing, Inc.</t>
  </si>
  <si>
    <t>ADP</t>
  </si>
  <si>
    <t>Maria Black</t>
  </si>
  <si>
    <t>AutoZone, Inc. (NYSE:AZO)</t>
  </si>
  <si>
    <t>AutoZone, Inc.</t>
  </si>
  <si>
    <t>AZO</t>
  </si>
  <si>
    <t>Philip Daniele III</t>
  </si>
  <si>
    <t>AvalonBay Communities, Inc. (NYSE:AVB)</t>
  </si>
  <si>
    <t>AvalonBay Communities, Inc.</t>
  </si>
  <si>
    <t>AVB</t>
  </si>
  <si>
    <t>Ben Schall</t>
  </si>
  <si>
    <t>Avery Dennison Corporation (NYSE:AVY)</t>
  </si>
  <si>
    <t>Avery Dennison Corporation</t>
  </si>
  <si>
    <t>AVY</t>
  </si>
  <si>
    <t>Deon Stander</t>
  </si>
  <si>
    <t>Axon Enterprise, Inc. (NasdaqGS:AXON)</t>
  </si>
  <si>
    <t>Axon Enterprise, Inc.</t>
  </si>
  <si>
    <t>AXON</t>
  </si>
  <si>
    <t>Rick Smith</t>
  </si>
  <si>
    <t>Baker Hughes Company (NasdaqGS:BKR)</t>
  </si>
  <si>
    <t>Baker Hughes Company</t>
  </si>
  <si>
    <t>BKR</t>
  </si>
  <si>
    <t>Lorenzo Simonelli</t>
  </si>
  <si>
    <t>Ball Corporation (NYSE:BALL)</t>
  </si>
  <si>
    <t>Ball Corporation</t>
  </si>
  <si>
    <t>BALL</t>
  </si>
  <si>
    <t>Daniel Fisher</t>
  </si>
  <si>
    <t>Bank of America Corporation (NYSE:BAC)</t>
  </si>
  <si>
    <t>Bank of America Corporation</t>
  </si>
  <si>
    <t>BAC</t>
  </si>
  <si>
    <t>Brian Moynihan</t>
  </si>
  <si>
    <t>Baxter International Inc. (NYSE:BAX)</t>
  </si>
  <si>
    <t>Baxter International Inc.</t>
  </si>
  <si>
    <t>BAX</t>
  </si>
  <si>
    <t>Brent Shafer</t>
  </si>
  <si>
    <t>Becton, Dickinson and Company (NYSE:BDX)</t>
  </si>
  <si>
    <t>Becton, Dickinson and Company</t>
  </si>
  <si>
    <t>BDX</t>
  </si>
  <si>
    <t>Thomas Polen</t>
  </si>
  <si>
    <t>Berkshire Hathaway Inc. (NYSE:BRK.A)</t>
  </si>
  <si>
    <t>Berkshire Hathaway Inc.</t>
  </si>
  <si>
    <t>BRK.A</t>
  </si>
  <si>
    <t>Greg Abel</t>
  </si>
  <si>
    <t>Best Buy Co., Inc. (NYSE:BBY)</t>
  </si>
  <si>
    <t>Best Buy Co., Inc.</t>
  </si>
  <si>
    <t>BBY</t>
  </si>
  <si>
    <t>Corie S. Barry</t>
  </si>
  <si>
    <t>Corie Barry</t>
  </si>
  <si>
    <t>Bio-Techne Corporation (NasdaqGS:TECH)</t>
  </si>
  <si>
    <t>Bio-Techne Corporation</t>
  </si>
  <si>
    <t>TECH</t>
  </si>
  <si>
    <t>Kim Kelderman</t>
  </si>
  <si>
    <t>Biogen Inc. (NasdaqGS:BIIB)</t>
  </si>
  <si>
    <t>Biogen Inc.</t>
  </si>
  <si>
    <t>BIIB</t>
  </si>
  <si>
    <t>Christopher Viehbacher</t>
  </si>
  <si>
    <t>BlackRock, Inc. (NYSE:BLK)</t>
  </si>
  <si>
    <t>BlackRock, Inc.</t>
  </si>
  <si>
    <t>BLK</t>
  </si>
  <si>
    <t>Laurence Fink</t>
  </si>
  <si>
    <t>Blackstone Inc. (NYSE:BX)</t>
  </si>
  <si>
    <t>Blackstone Inc.</t>
  </si>
  <si>
    <t>BX</t>
  </si>
  <si>
    <t>Stephen Schwarzman</t>
  </si>
  <si>
    <t>Block, Inc. (NYSE:XYZ)</t>
  </si>
  <si>
    <t>Block, Inc.</t>
  </si>
  <si>
    <t>XYZ</t>
  </si>
  <si>
    <t>Jack Dorsey</t>
  </si>
  <si>
    <t>Booking Holdings Inc. (NasdaqGS:BKNG)</t>
  </si>
  <si>
    <t>Booking Holdings Inc.</t>
  </si>
  <si>
    <t>BKNG</t>
  </si>
  <si>
    <t>Glenn Fogel</t>
  </si>
  <si>
    <t>Boston Scientific Corporation (NYSE:BSX)</t>
  </si>
  <si>
    <t>Boston Scientific Corporation</t>
  </si>
  <si>
    <t>BSX</t>
  </si>
  <si>
    <t>Michael Mahoney</t>
  </si>
  <si>
    <t>Bristol-Myers Squibb Company (NYSE:BMY)</t>
  </si>
  <si>
    <t>Bristol-Myers Squibb Company</t>
  </si>
  <si>
    <t>BMY</t>
  </si>
  <si>
    <t>Christopher Boerner</t>
  </si>
  <si>
    <t>Broadcom Inc. (NasdaqGS:AVGO)</t>
  </si>
  <si>
    <t>Broadcom Inc.</t>
  </si>
  <si>
    <t>AVGO</t>
  </si>
  <si>
    <t>Hock Tan</t>
  </si>
  <si>
    <t>Broadridge Financial Solutions, Inc. (NYSE:BR)</t>
  </si>
  <si>
    <t>Broadridge Financial Solutions, Inc.</t>
  </si>
  <si>
    <t>BR</t>
  </si>
  <si>
    <t>Timothy Gokey</t>
  </si>
  <si>
    <t>Brown &amp; Brown, Inc. (NYSE:BRO)</t>
  </si>
  <si>
    <t>Brown &amp; Brown, Inc.</t>
  </si>
  <si>
    <t>BRO</t>
  </si>
  <si>
    <t>J. Powell Brown</t>
  </si>
  <si>
    <t>Brown-Forman Corporation (NYSE:BF.B)</t>
  </si>
  <si>
    <t>Brown-Forman Corporation</t>
  </si>
  <si>
    <t>BF.B</t>
  </si>
  <si>
    <t>Lawson Whiting</t>
  </si>
  <si>
    <t>Builders FirstSource, Inc. (NYSE:BLDR)</t>
  </si>
  <si>
    <t>Builders FirstSource, Inc.</t>
  </si>
  <si>
    <t>BLDR</t>
  </si>
  <si>
    <t>Peter Jackson</t>
  </si>
  <si>
    <t>Bunge Global SA (NYSE:BG)</t>
  </si>
  <si>
    <t>Bunge Global SA</t>
  </si>
  <si>
    <t>BG</t>
  </si>
  <si>
    <t>Gregory Heckman</t>
  </si>
  <si>
    <t>BXP, Inc. (NYSE:BXP)</t>
  </si>
  <si>
    <t>BXP, Inc.</t>
  </si>
  <si>
    <t>BXP</t>
  </si>
  <si>
    <t>Owen Thomas</t>
  </si>
  <si>
    <t>C.H. Robinson Worldwide, Inc. (NasdaqGS:CHRW)</t>
  </si>
  <si>
    <t>C.H. Robinson Worldwide, Inc.</t>
  </si>
  <si>
    <t>CHRW</t>
  </si>
  <si>
    <t>David Bozeman</t>
  </si>
  <si>
    <t>Cadence Design Systems, Inc. (NasdaqGS:CDNS)</t>
  </si>
  <si>
    <t>Cadence Design Systems, Inc.</t>
  </si>
  <si>
    <t>CDNS</t>
  </si>
  <si>
    <t>Anirudh Devgan</t>
  </si>
  <si>
    <t>Camden Property Trust (NYSE:CPT)</t>
  </si>
  <si>
    <t>Camden Property Trust</t>
  </si>
  <si>
    <t>CPT</t>
  </si>
  <si>
    <t>Richard Campo</t>
  </si>
  <si>
    <t>Capital One Financial Corporation (NYSE:COF)</t>
  </si>
  <si>
    <t>Capital One Financial Corporation</t>
  </si>
  <si>
    <t>COF</t>
  </si>
  <si>
    <t>Richard Fairbank</t>
  </si>
  <si>
    <t>Cardinal Health, Inc. (NYSE:CAH)</t>
  </si>
  <si>
    <t>Cardinal Health, Inc.</t>
  </si>
  <si>
    <t>CAH</t>
  </si>
  <si>
    <t>Jason Hollar</t>
  </si>
  <si>
    <t>Carnival Corporation &amp; plc (NYSE:CCL)</t>
  </si>
  <si>
    <t>Carnival Corporation &amp; plc</t>
  </si>
  <si>
    <t>CCL</t>
  </si>
  <si>
    <t>Josh Weinstein</t>
  </si>
  <si>
    <t>Carrier Global Corporation (NYSE:CARR)</t>
  </si>
  <si>
    <t>Carrier Global Corporation</t>
  </si>
  <si>
    <t>CARR</t>
  </si>
  <si>
    <t>David Gitlin</t>
  </si>
  <si>
    <t>Carvana Co. (NYSE:CVNA)</t>
  </si>
  <si>
    <t>Carvana Co.</t>
  </si>
  <si>
    <t>CVNA</t>
  </si>
  <si>
    <t>Ernest Garcia III</t>
  </si>
  <si>
    <t>Caterpillar Inc. (NYSE:CAT)</t>
  </si>
  <si>
    <t>Caterpillar Inc.</t>
  </si>
  <si>
    <t>CAT</t>
  </si>
  <si>
    <t>Joseph Creed</t>
  </si>
  <si>
    <t>Cboe Global Markets, Inc. (BATS:CBOE)</t>
  </si>
  <si>
    <t>Cboe Global Markets, Inc.</t>
  </si>
  <si>
    <t>BATS</t>
  </si>
  <si>
    <t>CBOE</t>
  </si>
  <si>
    <t>Fredric Tomczyk</t>
  </si>
  <si>
    <t>CBRE Group, Inc. (NYSE:CBRE)</t>
  </si>
  <si>
    <t>CBRE Group, Inc.</t>
  </si>
  <si>
    <t>CBRE</t>
  </si>
  <si>
    <t>Robert Sulentic</t>
  </si>
  <si>
    <t>CDW Corporation (NasdaqGS:CDW)</t>
  </si>
  <si>
    <t>CDW Corporation</t>
  </si>
  <si>
    <t>CDW</t>
  </si>
  <si>
    <t>Christine A. Leahy</t>
  </si>
  <si>
    <t>Christine Leahy</t>
  </si>
  <si>
    <t>Cencora, Inc. (NYSE:COR)</t>
  </si>
  <si>
    <t>Cencora, Inc.</t>
  </si>
  <si>
    <t>COR</t>
  </si>
  <si>
    <t>Robert Mauch</t>
  </si>
  <si>
    <t>Centene Corporation (NYSE:CNC)</t>
  </si>
  <si>
    <t>Centene Corporation</t>
  </si>
  <si>
    <t>CNC</t>
  </si>
  <si>
    <t>Sarah London</t>
  </si>
  <si>
    <t>CenterPoint Energy, Inc. (NYSE:CNP)</t>
  </si>
  <si>
    <t>CenterPoint Energy, Inc.</t>
  </si>
  <si>
    <t>CNP</t>
  </si>
  <si>
    <t>Jason Wells</t>
  </si>
  <si>
    <t>CF Industries Holdings, Inc. (NYSE:CF)</t>
  </si>
  <si>
    <t>CF Industries Holdings, Inc.</t>
  </si>
  <si>
    <t>CF</t>
  </si>
  <si>
    <t>Tony Will</t>
  </si>
  <si>
    <t>Charles River Laboratories International, Inc. (NYSE:CRL)</t>
  </si>
  <si>
    <t>Charles River Laboratories International, Inc.</t>
  </si>
  <si>
    <t>CRL</t>
  </si>
  <si>
    <t>James Foster</t>
  </si>
  <si>
    <t>Charter Communications, Inc. (NasdaqGS:CHTR)</t>
  </si>
  <si>
    <t>Charter Communications, Inc.</t>
  </si>
  <si>
    <t>CHTR</t>
  </si>
  <si>
    <t>Christopher Winfrey</t>
  </si>
  <si>
    <t>Chevron Corporation (NYSE:CVX)</t>
  </si>
  <si>
    <t>Chevron Corporation</t>
  </si>
  <si>
    <t>CVX</t>
  </si>
  <si>
    <t>Michael Wirth</t>
  </si>
  <si>
    <t>Chipotle Mexican Grill, Inc. (NYSE:CMG)</t>
  </si>
  <si>
    <t>Chipotle Mexican Grill, Inc.</t>
  </si>
  <si>
    <t>CMG</t>
  </si>
  <si>
    <t>Scott Boatwright</t>
  </si>
  <si>
    <t>Church &amp; Dwight Co., Inc. (NYSE:CHD)</t>
  </si>
  <si>
    <t>Church &amp; Dwight Co., Inc.</t>
  </si>
  <si>
    <t>CHD</t>
  </si>
  <si>
    <t>Matthew Farrell</t>
  </si>
  <si>
    <t>Ciena Corporation (NYSE:CIEN)</t>
  </si>
  <si>
    <t>Ciena Corporation</t>
  </si>
  <si>
    <t>CIEN</t>
  </si>
  <si>
    <t>Gary Smith</t>
  </si>
  <si>
    <t>Cincinnati Financial Corporation (NasdaqGS:CINF)</t>
  </si>
  <si>
    <t>Cincinnati Financial Corporation</t>
  </si>
  <si>
    <t>CINF</t>
  </si>
  <si>
    <t>Stephen Spray</t>
  </si>
  <si>
    <t>Cintas Corporation (NasdaqGS:CTAS)</t>
  </si>
  <si>
    <t>Cintas Corporation</t>
  </si>
  <si>
    <t>CTAS</t>
  </si>
  <si>
    <t>Todd Schneider</t>
  </si>
  <si>
    <t>Cisco Systems, Inc. (NasdaqGS:CSCO)</t>
  </si>
  <si>
    <t>Cisco Systems, Inc.</t>
  </si>
  <si>
    <t>CSCO</t>
  </si>
  <si>
    <t>Chuck Robbins</t>
  </si>
  <si>
    <t>Citigroup Inc. (NYSE:C)</t>
  </si>
  <si>
    <t>Citigroup Inc.</t>
  </si>
  <si>
    <t>C</t>
  </si>
  <si>
    <t>Jane Fraser</t>
  </si>
  <si>
    <t>Citizens Financial Group, Inc. (NYSE:CFG)</t>
  </si>
  <si>
    <t>Citizens Financial Group, Inc.</t>
  </si>
  <si>
    <t>CFG</t>
  </si>
  <si>
    <t>Bruce Van Saun</t>
  </si>
  <si>
    <t>CME Group Inc. (NasdaqGS:CME)</t>
  </si>
  <si>
    <t>CME Group Inc.</t>
  </si>
  <si>
    <t>CME</t>
  </si>
  <si>
    <t>Terry Duffy</t>
  </si>
  <si>
    <t>CMS Energy Corporation (NYSE:CMS)</t>
  </si>
  <si>
    <t>CMS Energy Corporation</t>
  </si>
  <si>
    <t>CMS</t>
  </si>
  <si>
    <t>Garrick Rochow</t>
  </si>
  <si>
    <t>Cognizant Technology Solutions Corporation (NasdaqGS:CTSH)</t>
  </si>
  <si>
    <t>Cognizant Technology Solutions Corporation</t>
  </si>
  <si>
    <t>CTSH</t>
  </si>
  <si>
    <t>Ravi Kumar S</t>
  </si>
  <si>
    <t>Coinbase Global, Inc. (NasdaqGS:COIN)</t>
  </si>
  <si>
    <t>Coinbase Global, Inc.</t>
  </si>
  <si>
    <t>COIN</t>
  </si>
  <si>
    <t>Brian Armstrong</t>
  </si>
  <si>
    <t>Colgate-Palmolive Company (NYSE:CL)</t>
  </si>
  <si>
    <t>Colgate-Palmolive Company</t>
  </si>
  <si>
    <t>CL</t>
  </si>
  <si>
    <t>Noel Wallace</t>
  </si>
  <si>
    <t>Comcast Corporation (NasdaqGS:CMCSA)</t>
  </si>
  <si>
    <t>Comcast Corporation</t>
  </si>
  <si>
    <t>CMCSA</t>
  </si>
  <si>
    <t>Brian Roberts</t>
  </si>
  <si>
    <t>Comfort Systems USA, Inc. (NYSE:FIX)</t>
  </si>
  <si>
    <t>Comfort Systems USA, Inc.</t>
  </si>
  <si>
    <t>FIX</t>
  </si>
  <si>
    <t>Brian Lane</t>
  </si>
  <si>
    <t>Conagra Brands, Inc. (NYSE:CAG)</t>
  </si>
  <si>
    <t>Conagra Brands, Inc.</t>
  </si>
  <si>
    <t>CAG</t>
  </si>
  <si>
    <t>Sean Connolly</t>
  </si>
  <si>
    <t>ConocoPhillips (NYSE:COP)</t>
  </si>
  <si>
    <t>ConocoPhillips</t>
  </si>
  <si>
    <t>COP</t>
  </si>
  <si>
    <t>Ryan Lance</t>
  </si>
  <si>
    <t>Consolidated Edison, Inc. (NYSE:ED)</t>
  </si>
  <si>
    <t>Consolidated Edison, Inc.</t>
  </si>
  <si>
    <t>ED</t>
  </si>
  <si>
    <t>Timothy Cawley</t>
  </si>
  <si>
    <t>Constellation Brands, Inc. (NYSE:STZ)</t>
  </si>
  <si>
    <t>Constellation Brands, Inc.</t>
  </si>
  <si>
    <t>STZ</t>
  </si>
  <si>
    <t>William Newlands</t>
  </si>
  <si>
    <t>Constellation Energy Corporation (NasdaqGS:CEG)</t>
  </si>
  <si>
    <t>Constellation Energy Corporation</t>
  </si>
  <si>
    <t>CEG</t>
  </si>
  <si>
    <t>Joseph Dominguez</t>
  </si>
  <si>
    <t>Copart, Inc. (NasdaqGS:CPRT)</t>
  </si>
  <si>
    <t>Copart, Inc.</t>
  </si>
  <si>
    <t>CPRT</t>
  </si>
  <si>
    <t>Jeff Liaw</t>
  </si>
  <si>
    <t>Corning Incorporated (NYSE:GLW)</t>
  </si>
  <si>
    <t>Corning Incorporated</t>
  </si>
  <si>
    <t>GLW</t>
  </si>
  <si>
    <t>Wendell Weeks</t>
  </si>
  <si>
    <t>Corpay, Inc. (NYSE:CPAY)</t>
  </si>
  <si>
    <t>Corpay, Inc.</t>
  </si>
  <si>
    <t>CPAY</t>
  </si>
  <si>
    <t>Ron Clarke</t>
  </si>
  <si>
    <t>Corteva, Inc. (NYSE:CTVA)</t>
  </si>
  <si>
    <t>Corteva, Inc.</t>
  </si>
  <si>
    <t>CTVA</t>
  </si>
  <si>
    <t>Charles Magro</t>
  </si>
  <si>
    <t>CoStar Group, Inc. (NasdaqGS:CSGP)</t>
  </si>
  <si>
    <t>CoStar Group, Inc.</t>
  </si>
  <si>
    <t>CSGP</t>
  </si>
  <si>
    <t>Andy Florance</t>
  </si>
  <si>
    <t>Costco Wholesale Corporation (NasdaqGS:COST)</t>
  </si>
  <si>
    <t>Costco Wholesale Corporation</t>
  </si>
  <si>
    <t>COST</t>
  </si>
  <si>
    <t>Ron Vachris</t>
  </si>
  <si>
    <t>Coterra Energy Inc. (NYSE:CTRA)</t>
  </si>
  <si>
    <t>Coterra Energy Inc.</t>
  </si>
  <si>
    <t>CTRA</t>
  </si>
  <si>
    <t>Thomas Jorden</t>
  </si>
  <si>
    <t>CrowdStrike Holdings, Inc. (NasdaqGS:CRWD)</t>
  </si>
  <si>
    <t>CrowdStrike Holdings, Inc.</t>
  </si>
  <si>
    <t>CRWD</t>
  </si>
  <si>
    <t>George Kurtz</t>
  </si>
  <si>
    <t>Crown Castle Inc. (NYSE:CCI)</t>
  </si>
  <si>
    <t>Crown Castle Inc.</t>
  </si>
  <si>
    <t>CCI</t>
  </si>
  <si>
    <t>Steven Moskowitz</t>
  </si>
  <si>
    <t>CSX Corporation (NasdaqGS:CSX)</t>
  </si>
  <si>
    <t>CSX Corporation</t>
  </si>
  <si>
    <t>CSX</t>
  </si>
  <si>
    <t>Joseph Hinrichs</t>
  </si>
  <si>
    <t>Cummins Inc. (NYSE:CMI)</t>
  </si>
  <si>
    <t>Cummins Inc.</t>
  </si>
  <si>
    <t>CMI</t>
  </si>
  <si>
    <t>Jennifer Rumsey</t>
  </si>
  <si>
    <t>CVS Health Corporation (NYSE:CVS)</t>
  </si>
  <si>
    <t>CVS Health Corporation</t>
  </si>
  <si>
    <t>CVS</t>
  </si>
  <si>
    <t>David Joyner</t>
  </si>
  <si>
    <t>D.R. Horton, Inc. (NYSE:DHI)</t>
  </si>
  <si>
    <t>D.R. Horton, Inc.</t>
  </si>
  <si>
    <t>DHI</t>
  </si>
  <si>
    <t>Paul Romanowski</t>
  </si>
  <si>
    <t>Danaher Corporation (NYSE:DHR)</t>
  </si>
  <si>
    <t>Danaher Corporation</t>
  </si>
  <si>
    <t>DHR</t>
  </si>
  <si>
    <t>Rainer Blair</t>
  </si>
  <si>
    <t>Darden Restaurants, Inc. (NYSE:DRI)</t>
  </si>
  <si>
    <t>Darden Restaurants, Inc.</t>
  </si>
  <si>
    <t>DRI</t>
  </si>
  <si>
    <t>Ricardo Cardenas</t>
  </si>
  <si>
    <t>Datadog, Inc. (NasdaqGS:DDOG)</t>
  </si>
  <si>
    <t>Datadog, Inc.</t>
  </si>
  <si>
    <t>DDOG</t>
  </si>
  <si>
    <t>Olivier Pomel</t>
  </si>
  <si>
    <t>DaVita Inc. (NYSE:DVA)</t>
  </si>
  <si>
    <t>DaVita Inc.</t>
  </si>
  <si>
    <t>DVA</t>
  </si>
  <si>
    <t>Javier Rodriguez</t>
  </si>
  <si>
    <t>Deckers Outdoor Corporation (NYSE:DECK)</t>
  </si>
  <si>
    <t>Deckers Outdoor Corporation</t>
  </si>
  <si>
    <t>DECK</t>
  </si>
  <si>
    <t>Dave Powers</t>
  </si>
  <si>
    <t>Deere &amp; Company (NYSE:DE)</t>
  </si>
  <si>
    <t>Deere &amp; Company</t>
  </si>
  <si>
    <t>DE</t>
  </si>
  <si>
    <t>John May</t>
  </si>
  <si>
    <t>Dell Technologies Inc. (NYSE:DELL)</t>
  </si>
  <si>
    <t>Dell Technologies Inc.</t>
  </si>
  <si>
    <t>DELL</t>
  </si>
  <si>
    <t>Michael Dell</t>
  </si>
  <si>
    <t>Delta Air Lines, Inc. (NYSE:DAL)</t>
  </si>
  <si>
    <t>Delta Air Lines, Inc.</t>
  </si>
  <si>
    <t>DAL</t>
  </si>
  <si>
    <t>Edward Bastian</t>
  </si>
  <si>
    <t>Devon Energy Corporation (NYSE:DVN)</t>
  </si>
  <si>
    <t>Devon Energy Corporation</t>
  </si>
  <si>
    <t>DVN</t>
  </si>
  <si>
    <t>Clay Gaspar</t>
  </si>
  <si>
    <t>DexCom, Inc. (NasdaqGS:DXCM)</t>
  </si>
  <si>
    <t>DexCom, Inc.</t>
  </si>
  <si>
    <t>DXCM</t>
  </si>
  <si>
    <t>Kevin Sayer</t>
  </si>
  <si>
    <t>Diamondback Energy, Inc. (NasdaqGS:FANG)</t>
  </si>
  <si>
    <t>Diamondback Energy, Inc.</t>
  </si>
  <si>
    <t>FANG</t>
  </si>
  <si>
    <t>Kaes Van't Hof</t>
  </si>
  <si>
    <t>Digital Realty Trust, Inc. (NYSE:DLR)</t>
  </si>
  <si>
    <t>Digital Realty Trust, Inc.</t>
  </si>
  <si>
    <t>DLR</t>
  </si>
  <si>
    <t>Andy Power</t>
  </si>
  <si>
    <t>Dollar General Corporation (NYSE:DG)</t>
  </si>
  <si>
    <t>Dollar General Corporation</t>
  </si>
  <si>
    <t>DG</t>
  </si>
  <si>
    <t>Todd Vasos</t>
  </si>
  <si>
    <t>Dollar Tree, Inc. (NasdaqGS:DLTR)</t>
  </si>
  <si>
    <t>Dollar Tree, Inc.</t>
  </si>
  <si>
    <t>DLTR</t>
  </si>
  <si>
    <t>Michael Creedon Jr.</t>
  </si>
  <si>
    <t>Dominion Energy, Inc. (NYSE:D)</t>
  </si>
  <si>
    <t>Dominion Energy, Inc.</t>
  </si>
  <si>
    <t>D</t>
  </si>
  <si>
    <t>Robert Blue</t>
  </si>
  <si>
    <t>Domino's Pizza, Inc. (NasdaqGS:DPZ)</t>
  </si>
  <si>
    <t>Domino's Pizza, Inc.</t>
  </si>
  <si>
    <t>DPZ</t>
  </si>
  <si>
    <t>Russell Weiner</t>
  </si>
  <si>
    <t>DoorDash, Inc. (NasdaqGS:DASH)</t>
  </si>
  <si>
    <t>DoorDash, Inc.</t>
  </si>
  <si>
    <t>DASH</t>
  </si>
  <si>
    <t>Tony Xu</t>
  </si>
  <si>
    <t>Dover Corporation (NYSE:DOV)</t>
  </si>
  <si>
    <t>Dover Corporation</t>
  </si>
  <si>
    <t>DOV</t>
  </si>
  <si>
    <t>Richard Tobin</t>
  </si>
  <si>
    <t>Dow Inc. (NYSE:DOW)</t>
  </si>
  <si>
    <t>Dow Inc.</t>
  </si>
  <si>
    <t>DOW</t>
  </si>
  <si>
    <t>Jim Fitterling</t>
  </si>
  <si>
    <t>DTE Energy Company (NYSE:DTE)</t>
  </si>
  <si>
    <t>DTE Energy Company</t>
  </si>
  <si>
    <t>DTE</t>
  </si>
  <si>
    <t>Gerardo Norcia</t>
  </si>
  <si>
    <t>Duke Energy Corporation (NYSE:DUK)</t>
  </si>
  <si>
    <t>Duke Energy Corporation</t>
  </si>
  <si>
    <t>DUK</t>
  </si>
  <si>
    <t>Lynn J. Good</t>
  </si>
  <si>
    <t>DuPont de Nemours, Inc. (NYSE:DD)</t>
  </si>
  <si>
    <t>DuPont de Nemours, Inc.</t>
  </si>
  <si>
    <t>DD</t>
  </si>
  <si>
    <t>Lori D. Koch</t>
  </si>
  <si>
    <t>Lori Koch</t>
  </si>
  <si>
    <t>eBay Inc. (NasdaqGS:EBAY)</t>
  </si>
  <si>
    <t>eBay Inc.</t>
  </si>
  <si>
    <t>EBAY</t>
  </si>
  <si>
    <t>Jamie Iannone</t>
  </si>
  <si>
    <t>Ecolab Inc. (NYSE:ECL)</t>
  </si>
  <si>
    <t>Ecolab Inc.</t>
  </si>
  <si>
    <t>ECL</t>
  </si>
  <si>
    <t>Christophe Beck</t>
  </si>
  <si>
    <t>Edison International (NYSE:EIX)</t>
  </si>
  <si>
    <t>Edison International</t>
  </si>
  <si>
    <t>EIX</t>
  </si>
  <si>
    <t>Pedro Pizarro</t>
  </si>
  <si>
    <t>Edwards Lifesciences Corporation (NYSE:EW)</t>
  </si>
  <si>
    <t>Edwards Lifesciences Corporation</t>
  </si>
  <si>
    <t>EW</t>
  </si>
  <si>
    <t>Bernard Zovighian</t>
  </si>
  <si>
    <t>Electronic Arts Inc. (NasdaqGS:EA)</t>
  </si>
  <si>
    <t>Electronic Arts Inc.</t>
  </si>
  <si>
    <t>EA</t>
  </si>
  <si>
    <t>Andrew Wilson</t>
  </si>
  <si>
    <t>Elevance Health, Inc. (NYSE:ELV)</t>
  </si>
  <si>
    <t>Elevance Health, Inc.</t>
  </si>
  <si>
    <t>ELV</t>
  </si>
  <si>
    <t>Gail K. Boudreaux</t>
  </si>
  <si>
    <t>Eli Lilly and Company (NYSE:LLY)</t>
  </si>
  <si>
    <t>Eli Lilly and Company</t>
  </si>
  <si>
    <t>LLY</t>
  </si>
  <si>
    <t>David Ricks</t>
  </si>
  <si>
    <t>EMCOR Group, Inc. (NYSE:EME)</t>
  </si>
  <si>
    <t>EMCOR Group, Inc.</t>
  </si>
  <si>
    <t>EME</t>
  </si>
  <si>
    <t>Anthony Guzzi</t>
  </si>
  <si>
    <t>Emerson Electric Co. (NYSE:EMR)</t>
  </si>
  <si>
    <t>Emerson Electric Co.</t>
  </si>
  <si>
    <t>EMR</t>
  </si>
  <si>
    <t>Suresh Vaidyanathan</t>
  </si>
  <si>
    <t>Entergy Corporation (NYSE:ETR)</t>
  </si>
  <si>
    <t>Entergy Corporation</t>
  </si>
  <si>
    <t>ETR</t>
  </si>
  <si>
    <t>Andrew Marsh</t>
  </si>
  <si>
    <t>EOG Resources, Inc. (NYSE:EOG)</t>
  </si>
  <si>
    <t>EOG Resources, Inc.</t>
  </si>
  <si>
    <t>EOG</t>
  </si>
  <si>
    <t>Ezra Yacob</t>
  </si>
  <si>
    <t>EPAM Systems, Inc. (NYSE:EPAM)</t>
  </si>
  <si>
    <t>EPAM Systems, Inc.</t>
  </si>
  <si>
    <t>EPAM</t>
  </si>
  <si>
    <t>Ark Dobkin</t>
  </si>
  <si>
    <t>EQT Corporation (NYSE:EQT)</t>
  </si>
  <si>
    <t>EQT Corporation</t>
  </si>
  <si>
    <t>EQT</t>
  </si>
  <si>
    <t>Toby Rice</t>
  </si>
  <si>
    <t>Equifax Inc. (NYSE:EFX)</t>
  </si>
  <si>
    <t>Equifax Inc.</t>
  </si>
  <si>
    <t>EFX</t>
  </si>
  <si>
    <t>Mark Begor</t>
  </si>
  <si>
    <t>Equinix, Inc. (NasdaqGS:EQIX)</t>
  </si>
  <si>
    <t>Equinix, Inc.</t>
  </si>
  <si>
    <t>EQIX</t>
  </si>
  <si>
    <t>Adaire Fox-Martin</t>
  </si>
  <si>
    <t>Equity Residential (NYSE:EQR)</t>
  </si>
  <si>
    <t>Equity Residential</t>
  </si>
  <si>
    <t>EQR</t>
  </si>
  <si>
    <t>Mark Parrell</t>
  </si>
  <si>
    <t>Erie Indemnity Company (NasdaqGS:ERIE)</t>
  </si>
  <si>
    <t>Erie Indemnity Company</t>
  </si>
  <si>
    <t>ERIE</t>
  </si>
  <si>
    <t>Timothy NeCastro</t>
  </si>
  <si>
    <t>Essex Property Trust, Inc. (NYSE:ESS)</t>
  </si>
  <si>
    <t>Essex Property Trust, Inc.</t>
  </si>
  <si>
    <t>ESS</t>
  </si>
  <si>
    <t>Angela Kleiman</t>
  </si>
  <si>
    <t>Evergy, Inc. (NasdaqGS:EVRG)</t>
  </si>
  <si>
    <t>Evergy, Inc.</t>
  </si>
  <si>
    <t>EVRG</t>
  </si>
  <si>
    <t>David Campbell</t>
  </si>
  <si>
    <t>Eversource Energy (NYSE:ES)</t>
  </si>
  <si>
    <t>Eversource Energy</t>
  </si>
  <si>
    <t>ES</t>
  </si>
  <si>
    <t>Joseph Nolan Jr.</t>
  </si>
  <si>
    <t>Exelon Corporation (NasdaqGS:EXC)</t>
  </si>
  <si>
    <t>Exelon Corporation</t>
  </si>
  <si>
    <t>EXC</t>
  </si>
  <si>
    <t>Calvin Butler Jr.</t>
  </si>
  <si>
    <t>Expand Energy Corporation (NasdaqGS:EXE)</t>
  </si>
  <si>
    <t>Expand Energy Corporation</t>
  </si>
  <si>
    <t>EXE</t>
  </si>
  <si>
    <t>Dominic Dell'Osso</t>
  </si>
  <si>
    <t>Expedia Group, Inc. (NasdaqGS:EXPE)</t>
  </si>
  <si>
    <t>Expedia Group, Inc.</t>
  </si>
  <si>
    <t>EXPE</t>
  </si>
  <si>
    <t>Ariane Gorin</t>
  </si>
  <si>
    <t>Expeditors International of Washington, Inc. (NYSE:EXPD)</t>
  </si>
  <si>
    <t>Expeditors International of Washington, Inc.</t>
  </si>
  <si>
    <t>EXPD</t>
  </si>
  <si>
    <t>Daniel Wall</t>
  </si>
  <si>
    <t>Extra Space Storage Inc. (NYSE:EXR)</t>
  </si>
  <si>
    <t>Extra Space Storage Inc.</t>
  </si>
  <si>
    <t>EXR</t>
  </si>
  <si>
    <t>Joe Margolis</t>
  </si>
  <si>
    <t>Exxon Mobil Corporation (NYSE:XOM)</t>
  </si>
  <si>
    <t>Exxon Mobil Corporation</t>
  </si>
  <si>
    <t>XOM</t>
  </si>
  <si>
    <t>Darren Woods</t>
  </si>
  <si>
    <t>F5, Inc. (NasdaqGS:FFIV)</t>
  </si>
  <si>
    <t>F5, Inc.</t>
  </si>
  <si>
    <t>FFIV</t>
  </si>
  <si>
    <t>Francois Locoh-Donou</t>
  </si>
  <si>
    <t>FactSet Research Systems Inc. (NYSE:FDS)</t>
  </si>
  <si>
    <t>FactSet Research Systems Inc.</t>
  </si>
  <si>
    <t>FDS</t>
  </si>
  <si>
    <t>Philip Snow</t>
  </si>
  <si>
    <t>Fair Isaac Corporation (NYSE:FICO)</t>
  </si>
  <si>
    <t>Fair Isaac Corporation</t>
  </si>
  <si>
    <t>FICO</t>
  </si>
  <si>
    <t>William Lansing</t>
  </si>
  <si>
    <t>Fastenal Company (NasdaqGS:FAST)</t>
  </si>
  <si>
    <t>Fastenal Company</t>
  </si>
  <si>
    <t>FAST</t>
  </si>
  <si>
    <t>Daniel Florness</t>
  </si>
  <si>
    <t>Federal Realty Investment Trust (NYSE:FRT)</t>
  </si>
  <si>
    <t>Federal Realty Investment Trust</t>
  </si>
  <si>
    <t>FRT</t>
  </si>
  <si>
    <t>Donald Wood</t>
  </si>
  <si>
    <t>FedEx Corporation (NYSE:FDX)</t>
  </si>
  <si>
    <t>FedEx Corporation</t>
  </si>
  <si>
    <t>FDX</t>
  </si>
  <si>
    <t>Rajesh Subramaniam</t>
  </si>
  <si>
    <t>Fidelity National Information Services, Inc. (NYSE:FIS)</t>
  </si>
  <si>
    <t>Fidelity National Information Services, Inc.</t>
  </si>
  <si>
    <t>FIS</t>
  </si>
  <si>
    <t>Stephanie L. Ferris</t>
  </si>
  <si>
    <t>Fifth Third Bancorp (NasdaqGS:FITB)</t>
  </si>
  <si>
    <t>Fifth Third Bancorp</t>
  </si>
  <si>
    <t>FITB</t>
  </si>
  <si>
    <t>Timothy Spence</t>
  </si>
  <si>
    <t>First Solar, Inc. (NasdaqGS:FSLR)</t>
  </si>
  <si>
    <t>First Solar, Inc.</t>
  </si>
  <si>
    <t>FSLR</t>
  </si>
  <si>
    <t>Mark Widmar</t>
  </si>
  <si>
    <t>FirstEnergy Corp. (NYSE:FE)</t>
  </si>
  <si>
    <t>FirstEnergy Corp.</t>
  </si>
  <si>
    <t>FE</t>
  </si>
  <si>
    <t>Brian Tierney</t>
  </si>
  <si>
    <t>Fiserv, Inc. (NasdaqGS:FISV)</t>
  </si>
  <si>
    <t>Fiserv, Inc.</t>
  </si>
  <si>
    <t>FISV</t>
  </si>
  <si>
    <t>Michael Lyons</t>
  </si>
  <si>
    <t>Ford Motor Company (NYSE:F)</t>
  </si>
  <si>
    <t>Ford Motor Company</t>
  </si>
  <si>
    <t>F</t>
  </si>
  <si>
    <t>James Farley Jr.</t>
  </si>
  <si>
    <t>Fortinet, Inc. (NasdaqGS:FTNT)</t>
  </si>
  <si>
    <t>Fortinet, Inc.</t>
  </si>
  <si>
    <t>FTNT</t>
  </si>
  <si>
    <t>Ken Xie</t>
  </si>
  <si>
    <t>Fortive Corporation (NYSE:FTV)</t>
  </si>
  <si>
    <t>Fortive Corporation</t>
  </si>
  <si>
    <t>FTV</t>
  </si>
  <si>
    <t>Jim Lico</t>
  </si>
  <si>
    <t>Fox Corporation (NasdaqGS:FOXA)</t>
  </si>
  <si>
    <t>Fox Corporation</t>
  </si>
  <si>
    <t>FOXA</t>
  </si>
  <si>
    <t>Lachlan Murdoch</t>
  </si>
  <si>
    <t>Franklin Resources, Inc. (NYSE:BEN)</t>
  </si>
  <si>
    <t>Franklin Resources, Inc.</t>
  </si>
  <si>
    <t>BEN</t>
  </si>
  <si>
    <t>Jennifer M. Johnson</t>
  </si>
  <si>
    <t>Jennifer Johnson</t>
  </si>
  <si>
    <t>Freeport-McMoRan Inc. (NYSE:FCX)</t>
  </si>
  <si>
    <t>Freeport-McMoRan Inc.</t>
  </si>
  <si>
    <t>FCX</t>
  </si>
  <si>
    <t>Kathleen Quirk</t>
  </si>
  <si>
    <t>Gartner, Inc. (NYSE:IT)</t>
  </si>
  <si>
    <t>Gartner, Inc.</t>
  </si>
  <si>
    <t>IT</t>
  </si>
  <si>
    <t>Gene Hall</t>
  </si>
  <si>
    <t>GE HealthCare Technologies Inc. (NasdaqGS:GEHC)</t>
  </si>
  <si>
    <t>GE HealthCare Technologies Inc.</t>
  </si>
  <si>
    <t>GEHC</t>
  </si>
  <si>
    <t>Peter Arduini</t>
  </si>
  <si>
    <t>GE Vernova Inc. (NYSE:GEV)</t>
  </si>
  <si>
    <t>GE Vernova Inc.</t>
  </si>
  <si>
    <t>GEV</t>
  </si>
  <si>
    <t>Scott Strazik</t>
  </si>
  <si>
    <t>Gen Digital Inc. (NasdaqGS:GEN)</t>
  </si>
  <si>
    <t>Gen Digital Inc.</t>
  </si>
  <si>
    <t>GEN</t>
  </si>
  <si>
    <t>Vincent Pilette</t>
  </si>
  <si>
    <t>Generac Holdings Inc. (NYSE:GNRC)</t>
  </si>
  <si>
    <t>Generac Holdings Inc.</t>
  </si>
  <si>
    <t>GNRC</t>
  </si>
  <si>
    <t>Aaron Jagdfeld</t>
  </si>
  <si>
    <t>General Dynamics Corporation (NYSE:GD)</t>
  </si>
  <si>
    <t>General Dynamics Corporation</t>
  </si>
  <si>
    <t>GD</t>
  </si>
  <si>
    <t>Phebe N. Novakovic</t>
  </si>
  <si>
    <t>General Electric Company (NYSE:GE)</t>
  </si>
  <si>
    <t>General Electric Company</t>
  </si>
  <si>
    <t>GE</t>
  </si>
  <si>
    <t>Larry Culp</t>
  </si>
  <si>
    <t>General Mills, Inc. (NYSE:GIS)</t>
  </si>
  <si>
    <t>General Mills, Inc.</t>
  </si>
  <si>
    <t>GIS</t>
  </si>
  <si>
    <t>Jeffrey Harmening</t>
  </si>
  <si>
    <t>General Motors Company (NYSE:GM)</t>
  </si>
  <si>
    <t>General Motors Company</t>
  </si>
  <si>
    <t>GM</t>
  </si>
  <si>
    <t>Mary T. Barra</t>
  </si>
  <si>
    <t>Genuine Parts Company (NYSE:GPC)</t>
  </si>
  <si>
    <t>Genuine Parts Company</t>
  </si>
  <si>
    <t>GPC</t>
  </si>
  <si>
    <t>Will Stengel</t>
  </si>
  <si>
    <t>Gilead Sciences, Inc. (NasdaqGS:GILD)</t>
  </si>
  <si>
    <t>Gilead Sciences, Inc.</t>
  </si>
  <si>
    <t>GILD</t>
  </si>
  <si>
    <t>Daniel O'Day</t>
  </si>
  <si>
    <t>Global Payments Inc. (NYSE:GPN)</t>
  </si>
  <si>
    <t>Global Payments Inc.</t>
  </si>
  <si>
    <t>GPN</t>
  </si>
  <si>
    <t>Cameron Bready</t>
  </si>
  <si>
    <t>Globe Life Inc. (NYSE:GL)</t>
  </si>
  <si>
    <t>Globe Life Inc.</t>
  </si>
  <si>
    <t>GL</t>
  </si>
  <si>
    <t>J. Matthew Darden</t>
  </si>
  <si>
    <t>GoDaddy Inc. (NYSE:GDDY)</t>
  </si>
  <si>
    <t>GoDaddy Inc.</t>
  </si>
  <si>
    <t>GDDY</t>
  </si>
  <si>
    <t>Aman Bhutani</t>
  </si>
  <si>
    <t>Halliburton Company (NYSE:HAL)</t>
  </si>
  <si>
    <t>Halliburton Company</t>
  </si>
  <si>
    <t>HAL</t>
  </si>
  <si>
    <t>Jeffrey Miller</t>
  </si>
  <si>
    <t>Hasbro, Inc. (NasdaqGS:HAS)</t>
  </si>
  <si>
    <t>Hasbro, Inc.</t>
  </si>
  <si>
    <t>HAS</t>
  </si>
  <si>
    <t>Chris Cocks</t>
  </si>
  <si>
    <t>HCA Healthcare, Inc. (NYSE:HCA)</t>
  </si>
  <si>
    <t>HCA Healthcare, Inc.</t>
  </si>
  <si>
    <t>HCA</t>
  </si>
  <si>
    <t>Samuel Hazen</t>
  </si>
  <si>
    <t>Healthpeak Properties, Inc. (NYSE:DOC)</t>
  </si>
  <si>
    <t>Healthpeak Properties, Inc.</t>
  </si>
  <si>
    <t>DOC</t>
  </si>
  <si>
    <t>Scott Brinker</t>
  </si>
  <si>
    <t>Henry Schein, Inc. (NasdaqGS:HSIC)</t>
  </si>
  <si>
    <t>Henry Schein, Inc.</t>
  </si>
  <si>
    <t>HSIC</t>
  </si>
  <si>
    <t>Stanley Bergman</t>
  </si>
  <si>
    <t>Hewlett Packard Enterprise Company (NYSE:HPE)</t>
  </si>
  <si>
    <t>Hewlett Packard Enterprise Company</t>
  </si>
  <si>
    <t>HPE</t>
  </si>
  <si>
    <t>Antonio Neri</t>
  </si>
  <si>
    <t>Hilton Worldwide Holdings Inc. (NYSE:HLT)</t>
  </si>
  <si>
    <t>Hilton Worldwide Holdings Inc.</t>
  </si>
  <si>
    <t>HLT</t>
  </si>
  <si>
    <t>Christopher Nassetta</t>
  </si>
  <si>
    <t>Hologic, Inc. (NasdaqGS:HOLX)</t>
  </si>
  <si>
    <t>Hologic, Inc.</t>
  </si>
  <si>
    <t>HOLX</t>
  </si>
  <si>
    <t>Stephen MacMillan</t>
  </si>
  <si>
    <t>Honeywell International Inc. (NasdaqGS:HON)</t>
  </si>
  <si>
    <t>Honeywell International Inc.</t>
  </si>
  <si>
    <t>HON</t>
  </si>
  <si>
    <t>Vimal Kapur</t>
  </si>
  <si>
    <t>Hormel Foods Corporation (NYSE:HRL)</t>
  </si>
  <si>
    <t>Hormel Foods Corporation</t>
  </si>
  <si>
    <t>HRL</t>
  </si>
  <si>
    <t>James Snee</t>
  </si>
  <si>
    <t>Host Hotels &amp; Resorts, Inc. (NasdaqGS:HST)</t>
  </si>
  <si>
    <t>Host Hotels &amp; Resorts, Inc.</t>
  </si>
  <si>
    <t>HST</t>
  </si>
  <si>
    <t>James Risoleo</t>
  </si>
  <si>
    <t>Howmet Aerospace Inc. (NYSE:HWM)</t>
  </si>
  <si>
    <t>Howmet Aerospace Inc.</t>
  </si>
  <si>
    <t>HWM</t>
  </si>
  <si>
    <t>John Plant</t>
  </si>
  <si>
    <t>HP Inc. (NYSE:HPQ)</t>
  </si>
  <si>
    <t>HP Inc.</t>
  </si>
  <si>
    <t>HPQ</t>
  </si>
  <si>
    <t>Enrique Lores</t>
  </si>
  <si>
    <t>Hubbell Incorporated (NYSE:HUBB)</t>
  </si>
  <si>
    <t>Hubbell Incorporated</t>
  </si>
  <si>
    <t>HUBB</t>
  </si>
  <si>
    <t>Gerben Bakker</t>
  </si>
  <si>
    <t>Humana Inc. (NYSE:HUM)</t>
  </si>
  <si>
    <t>Humana Inc.</t>
  </si>
  <si>
    <t>HUM</t>
  </si>
  <si>
    <t>James Rechtin</t>
  </si>
  <si>
    <t>Huntington Bancshares Incorporated (NasdaqGS:HBAN)</t>
  </si>
  <si>
    <t>Huntington Bancshares Incorporated</t>
  </si>
  <si>
    <t>HBAN</t>
  </si>
  <si>
    <t>Stephen Steinour</t>
  </si>
  <si>
    <t>Huntington Ingalls Industries, Inc. (NYSE:HII)</t>
  </si>
  <si>
    <t>Huntington Ingalls Industries, Inc.</t>
  </si>
  <si>
    <t>HII</t>
  </si>
  <si>
    <t>Christopher Kastner</t>
  </si>
  <si>
    <t>IDEX Corporation (NYSE:IEX)</t>
  </si>
  <si>
    <t>IDEX Corporation</t>
  </si>
  <si>
    <t>IEX</t>
  </si>
  <si>
    <t>Eric Ashleman</t>
  </si>
  <si>
    <t>IDEXX Laboratories, Inc. (NasdaqGS:IDXX)</t>
  </si>
  <si>
    <t>IDEXX Laboratories, Inc.</t>
  </si>
  <si>
    <t>IDXX</t>
  </si>
  <si>
    <t>Jay Mazelsky</t>
  </si>
  <si>
    <t>Illinois Tool Works Inc. (NYSE:ITW)</t>
  </si>
  <si>
    <t>Illinois Tool Works Inc.</t>
  </si>
  <si>
    <t>ITW</t>
  </si>
  <si>
    <t>Christopher O'Herlihy</t>
  </si>
  <si>
    <t>Incyte Corporation (NasdaqGS:INCY)</t>
  </si>
  <si>
    <t>Incyte Corporation</t>
  </si>
  <si>
    <t>INCY</t>
  </si>
  <si>
    <t>Bill Meury</t>
  </si>
  <si>
    <t>Ingersoll Rand Inc. (NYSE:IR)</t>
  </si>
  <si>
    <t>Ingersoll Rand Inc.</t>
  </si>
  <si>
    <t>IR</t>
  </si>
  <si>
    <t>Insulet Corporation (NasdaqGS:PODD)</t>
  </si>
  <si>
    <t>Insulet Corporation</t>
  </si>
  <si>
    <t>PODD</t>
  </si>
  <si>
    <t>Jim Hollingshead</t>
  </si>
  <si>
    <t>Intel Corporation (NasdaqGS:INTC)</t>
  </si>
  <si>
    <t>Intel Corporation</t>
  </si>
  <si>
    <t>INTC</t>
  </si>
  <si>
    <t>Lip-Bu Tan</t>
  </si>
  <si>
    <t>Interactive Brokers Group, Inc. (NasdaqGS:IBKR)</t>
  </si>
  <si>
    <t>Interactive Brokers Group, Inc.</t>
  </si>
  <si>
    <t>IBKR</t>
  </si>
  <si>
    <t>Milan Galik</t>
  </si>
  <si>
    <t>Intercontinental Exchange, Inc. (NYSE:ICE)</t>
  </si>
  <si>
    <t>Intercontinental Exchange, Inc.</t>
  </si>
  <si>
    <t>ICE</t>
  </si>
  <si>
    <t>Jeffrey Sprecher</t>
  </si>
  <si>
    <t>International Business Machines Corporation (NYSE:IBM)</t>
  </si>
  <si>
    <t>International Business Machines Corporation</t>
  </si>
  <si>
    <t>IBM</t>
  </si>
  <si>
    <t>Arvind Krishna</t>
  </si>
  <si>
    <t>International Flavors &amp; Fragrances Inc. (NYSE:IFF)</t>
  </si>
  <si>
    <t>International Flavors &amp; Fragrances Inc.</t>
  </si>
  <si>
    <t>IFF</t>
  </si>
  <si>
    <t>Erik Fyrwald</t>
  </si>
  <si>
    <t>International Paper Company (NYSE:IP)</t>
  </si>
  <si>
    <t>International Paper Company</t>
  </si>
  <si>
    <t>IP</t>
  </si>
  <si>
    <t>Andrew Silvernail</t>
  </si>
  <si>
    <t>Intuit Inc. (NasdaqGS:INTU)</t>
  </si>
  <si>
    <t>Intuit Inc.</t>
  </si>
  <si>
    <t>INTU</t>
  </si>
  <si>
    <t>Sasan Goodarzi</t>
  </si>
  <si>
    <t>Intuitive Surgical, Inc. (NasdaqGS:ISRG)</t>
  </si>
  <si>
    <t>Intuitive Surgical, Inc.</t>
  </si>
  <si>
    <t>ISRG</t>
  </si>
  <si>
    <t>Gary Guthart</t>
  </si>
  <si>
    <t>Invesco Ltd. (NYSE:IVZ)</t>
  </si>
  <si>
    <t>Invesco Ltd.</t>
  </si>
  <si>
    <t>IVZ</t>
  </si>
  <si>
    <t>Andrew Schlossberg</t>
  </si>
  <si>
    <t>Invitation Homes Inc. (NYSE:INVH)</t>
  </si>
  <si>
    <t>Invitation Homes Inc.</t>
  </si>
  <si>
    <t>INVH</t>
  </si>
  <si>
    <t>Dallas Tanner</t>
  </si>
  <si>
    <t>IQVIA Holdings Inc. (NYSE:IQV)</t>
  </si>
  <si>
    <t>IQVIA Holdings Inc.</t>
  </si>
  <si>
    <t>IQV</t>
  </si>
  <si>
    <t>Ari Bousbib</t>
  </si>
  <si>
    <t>Iron Mountain Incorporated (NYSE:IRM)</t>
  </si>
  <si>
    <t>Iron Mountain Incorporated</t>
  </si>
  <si>
    <t>IRM</t>
  </si>
  <si>
    <t>William Meaney</t>
  </si>
  <si>
    <t>J.B. Hunt Transport Services, Inc. (NasdaqGS:JBHT)</t>
  </si>
  <si>
    <t>J.B. Hunt Transport Services, Inc.</t>
  </si>
  <si>
    <t>JBHT</t>
  </si>
  <si>
    <t>Shelley Simpson</t>
  </si>
  <si>
    <t>Jabil Inc. (NYSE:JBL)</t>
  </si>
  <si>
    <t>Jabil Inc.</t>
  </si>
  <si>
    <t>JBL</t>
  </si>
  <si>
    <t>Michael Dastoor</t>
  </si>
  <si>
    <t>Jack Henry &amp; Associates, Inc. (NasdaqGS:JKHY)</t>
  </si>
  <si>
    <t>Jack Henry &amp; Associates, Inc.</t>
  </si>
  <si>
    <t>JKHY</t>
  </si>
  <si>
    <t>David Foss</t>
  </si>
  <si>
    <t>Jacobs Solutions Inc. (NYSE:J)</t>
  </si>
  <si>
    <t>Jacobs Solutions Inc.</t>
  </si>
  <si>
    <t>J</t>
  </si>
  <si>
    <t>Bob Pragada</t>
  </si>
  <si>
    <t>Johnson &amp; Johnson (NYSE:JNJ)</t>
  </si>
  <si>
    <t>Johnson &amp; Johnson</t>
  </si>
  <si>
    <t>JNJ</t>
  </si>
  <si>
    <t>Joaquin Duato</t>
  </si>
  <si>
    <t>JPMorgan Chase &amp; Co. (NYSE:JPM)</t>
  </si>
  <si>
    <t>JPMorgan Chase &amp; Co.</t>
  </si>
  <si>
    <t>JPM</t>
  </si>
  <si>
    <t>Jamie Dimon</t>
  </si>
  <si>
    <t>Kenvue Inc. (NYSE:KVUE)</t>
  </si>
  <si>
    <t>Kenvue Inc.</t>
  </si>
  <si>
    <t>KVUE</t>
  </si>
  <si>
    <t>Thibaut Mongon</t>
  </si>
  <si>
    <t>Keurig Dr Pepper Inc. (NasdaqGS:KDP)</t>
  </si>
  <si>
    <t>Keurig Dr Pepper Inc.</t>
  </si>
  <si>
    <t>KDP</t>
  </si>
  <si>
    <t>Timothy Cofer</t>
  </si>
  <si>
    <t>KeyCorp (NYSE:KEY)</t>
  </si>
  <si>
    <t>KeyCorp</t>
  </si>
  <si>
    <t>KEY</t>
  </si>
  <si>
    <t>Christopher Gorman</t>
  </si>
  <si>
    <t>Keysight Technologies, Inc. (NYSE:KEYS)</t>
  </si>
  <si>
    <t>Keysight Technologies, Inc.</t>
  </si>
  <si>
    <t>KEYS</t>
  </si>
  <si>
    <t>Satish Dhanasekaran</t>
  </si>
  <si>
    <t>Kimberly-Clark Corporation (NasdaqGS:KMB)</t>
  </si>
  <si>
    <t>Kimberly-Clark Corporation</t>
  </si>
  <si>
    <t>KMB</t>
  </si>
  <si>
    <t>Michael Hsu</t>
  </si>
  <si>
    <t>Kimco Realty Corporation (NYSE:KIM)</t>
  </si>
  <si>
    <t>Kimco Realty Corporation</t>
  </si>
  <si>
    <t>KIM</t>
  </si>
  <si>
    <t>Conor Flynn</t>
  </si>
  <si>
    <t>Kinder Morgan, Inc. (NYSE:KMI)</t>
  </si>
  <si>
    <t>Kinder Morgan, Inc.</t>
  </si>
  <si>
    <t>KMI</t>
  </si>
  <si>
    <t>Kim Dang</t>
  </si>
  <si>
    <t>Kimberly Dang</t>
  </si>
  <si>
    <t>KKR &amp; Co. Inc. (NYSE:KKR)</t>
  </si>
  <si>
    <t>KKR &amp; Co. Inc.</t>
  </si>
  <si>
    <t>KKR</t>
  </si>
  <si>
    <t>Joseph Bae</t>
  </si>
  <si>
    <t>KLA Corporation (NasdaqGS:KLAC)</t>
  </si>
  <si>
    <t>KLA Corporation</t>
  </si>
  <si>
    <t>KLAC</t>
  </si>
  <si>
    <t>Richard Wallace</t>
  </si>
  <si>
    <t>L3Harris Technologies, Inc. (NYSE:LHX)</t>
  </si>
  <si>
    <t>L3Harris Technologies, Inc.</t>
  </si>
  <si>
    <t>LHX</t>
  </si>
  <si>
    <t>Christopher Kubasik</t>
  </si>
  <si>
    <t>Labcorp Holdings Inc. (NYSE:LH)</t>
  </si>
  <si>
    <t>Labcorp Holdings Inc.</t>
  </si>
  <si>
    <t>LH</t>
  </si>
  <si>
    <t>Adam Schechter</t>
  </si>
  <si>
    <t>Lam Research Corporation (NasdaqGS:LRCX)</t>
  </si>
  <si>
    <t>Lam Research Corporation</t>
  </si>
  <si>
    <t>LRCX</t>
  </si>
  <si>
    <t>Timothy Archer</t>
  </si>
  <si>
    <t>Lamb Weston Holdings, Inc. (NYSE:LW)</t>
  </si>
  <si>
    <t>Lamb Weston Holdings, Inc.</t>
  </si>
  <si>
    <t>LW</t>
  </si>
  <si>
    <t>Mike Smith</t>
  </si>
  <si>
    <t>Las Vegas Sands Corp. (NYSE:LVS)</t>
  </si>
  <si>
    <t>Las Vegas Sands Corp.</t>
  </si>
  <si>
    <t>LVS</t>
  </si>
  <si>
    <t>Robert Goldstein</t>
  </si>
  <si>
    <t>Leidos Holdings, Inc. (NYSE:LDOS)</t>
  </si>
  <si>
    <t>Leidos Holdings, Inc.</t>
  </si>
  <si>
    <t>LDOS</t>
  </si>
  <si>
    <t>Thomas Bell</t>
  </si>
  <si>
    <t>Lennar Corporation (NYSE:LEN)</t>
  </si>
  <si>
    <t>Lennar Corporation</t>
  </si>
  <si>
    <t>LEN</t>
  </si>
  <si>
    <t>Jonathan Jaffe</t>
  </si>
  <si>
    <t>Lennox International Inc. (NYSE:LII)</t>
  </si>
  <si>
    <t>Lennox International Inc.</t>
  </si>
  <si>
    <t>LII</t>
  </si>
  <si>
    <t>Alok Maskara</t>
  </si>
  <si>
    <t>Live Nation Entertainment, Inc. (NYSE:LYV)</t>
  </si>
  <si>
    <t>Live Nation Entertainment, Inc.</t>
  </si>
  <si>
    <t>LYV</t>
  </si>
  <si>
    <t>Michael Rapino</t>
  </si>
  <si>
    <t>Lockheed Martin Corporation (NYSE:LMT)</t>
  </si>
  <si>
    <t>Lockheed Martin Corporation</t>
  </si>
  <si>
    <t>LMT</t>
  </si>
  <si>
    <t>James Taiclet</t>
  </si>
  <si>
    <t>Loews Corporation (NYSE:L)</t>
  </si>
  <si>
    <t>Loews Corporation</t>
  </si>
  <si>
    <t>L</t>
  </si>
  <si>
    <t>James Tisch</t>
  </si>
  <si>
    <t>Lowe's Companies, Inc. (NYSE:LOW)</t>
  </si>
  <si>
    <t>Lowe's Companies, Inc.</t>
  </si>
  <si>
    <t>LOW</t>
  </si>
  <si>
    <t>Marvin Ellison</t>
  </si>
  <si>
    <t>M&amp;T Bank Corporation (NYSE:MTB)</t>
  </si>
  <si>
    <t>M&amp;T Bank Corporation</t>
  </si>
  <si>
    <t>MTB</t>
  </si>
  <si>
    <t>Rene Jones</t>
  </si>
  <si>
    <t>Marathon Petroleum Corporation (NYSE:MPC)</t>
  </si>
  <si>
    <t>Marathon Petroleum Corporation</t>
  </si>
  <si>
    <t>MPC</t>
  </si>
  <si>
    <t>Maryann Mannen</t>
  </si>
  <si>
    <t>Marriott International, Inc. (NasdaqGS:MAR)</t>
  </si>
  <si>
    <t>Marriott International, Inc.</t>
  </si>
  <si>
    <t>MAR</t>
  </si>
  <si>
    <t>Anthony Capuano</t>
  </si>
  <si>
    <t>Marsh &amp; McLennan Companies, Inc. (NYSE:MRSH)</t>
  </si>
  <si>
    <t>Marsh &amp; McLennan Companies, Inc.</t>
  </si>
  <si>
    <t>MRSH</t>
  </si>
  <si>
    <t>John Doyle</t>
  </si>
  <si>
    <t>Martin Marietta Materials, Inc. (NYSE:MLM)</t>
  </si>
  <si>
    <t>Martin Marietta Materials, Inc.</t>
  </si>
  <si>
    <t>MLM</t>
  </si>
  <si>
    <t>Ward Nye</t>
  </si>
  <si>
    <t>Masco Corporation (NYSE:MAS)</t>
  </si>
  <si>
    <t>Masco Corporation</t>
  </si>
  <si>
    <t>MAS</t>
  </si>
  <si>
    <t>Keith Allman</t>
  </si>
  <si>
    <t>Mastercard Incorporated (NYSE:MA)</t>
  </si>
  <si>
    <t>Mastercard Incorporated</t>
  </si>
  <si>
    <t>MA</t>
  </si>
  <si>
    <t>Michael Miebach</t>
  </si>
  <si>
    <t>Match Group, Inc. (NasdaqGS:MTCH)</t>
  </si>
  <si>
    <t>Match Group, Inc.</t>
  </si>
  <si>
    <t>MTCH</t>
  </si>
  <si>
    <t>Spencer Rascoff</t>
  </si>
  <si>
    <t>McCormick &amp; Company, Incorporated (NYSE:MKC)</t>
  </si>
  <si>
    <t>McCormick &amp; Company, Incorporated</t>
  </si>
  <si>
    <t>MKC</t>
  </si>
  <si>
    <t>Brendan Foley</t>
  </si>
  <si>
    <t>McDonald's Corporation (NYSE:MCD)</t>
  </si>
  <si>
    <t>McDonald's Corporation</t>
  </si>
  <si>
    <t>MCD</t>
  </si>
  <si>
    <t>Christopher Kempczinski</t>
  </si>
  <si>
    <t>McKesson Corporation (NYSE:MCK)</t>
  </si>
  <si>
    <t>McKesson Corporation</t>
  </si>
  <si>
    <t>MCK</t>
  </si>
  <si>
    <t>Brian Tyler</t>
  </si>
  <si>
    <t>Merck &amp; Co., Inc. (NYSE:MRK)</t>
  </si>
  <si>
    <t>Merck &amp; Co., Inc.</t>
  </si>
  <si>
    <t>MRK</t>
  </si>
  <si>
    <t>Robert Davis</t>
  </si>
  <si>
    <t>Meta Platforms, Inc. (NasdaqGS:META)</t>
  </si>
  <si>
    <t>Meta Platforms, Inc.</t>
  </si>
  <si>
    <t>META</t>
  </si>
  <si>
    <t>Mark Zuckerberg</t>
  </si>
  <si>
    <t>MetLife, Inc. (NYSE:MET)</t>
  </si>
  <si>
    <t>MetLife, Inc.</t>
  </si>
  <si>
    <t>MET</t>
  </si>
  <si>
    <t>Michel Khalaf</t>
  </si>
  <si>
    <t>MGM Resorts International (NYSE:MGM)</t>
  </si>
  <si>
    <t>MGM Resorts International</t>
  </si>
  <si>
    <t>MGM</t>
  </si>
  <si>
    <t>William Hornbuckle</t>
  </si>
  <si>
    <t>Microchip Technology Incorporated (NasdaqGS:MCHP)</t>
  </si>
  <si>
    <t>Microchip Technology Incorporated</t>
  </si>
  <si>
    <t>MCHP</t>
  </si>
  <si>
    <t>Steve Sanghi</t>
  </si>
  <si>
    <t>Micron Technology, Inc. (NasdaqGS:MU)</t>
  </si>
  <si>
    <t>Micron Technology, Inc.</t>
  </si>
  <si>
    <t>MU</t>
  </si>
  <si>
    <t>Sanjay Mehrotra</t>
  </si>
  <si>
    <t>Microsoft Corporation (NasdaqGS:MSFT)</t>
  </si>
  <si>
    <t>Microsoft Corporation</t>
  </si>
  <si>
    <t>MSFT</t>
  </si>
  <si>
    <t>Satya Nadella</t>
  </si>
  <si>
    <t>Mid-America Apartment Communities, Inc. (NYSE:MAA)</t>
  </si>
  <si>
    <t>Mid-America Apartment Communities, Inc.</t>
  </si>
  <si>
    <t>MAA</t>
  </si>
  <si>
    <t>Eric Bolton</t>
  </si>
  <si>
    <t>Moderna, Inc. (NasdaqGS:MRNA)</t>
  </si>
  <si>
    <t>Moderna, Inc.</t>
  </si>
  <si>
    <t>MRNA</t>
  </si>
  <si>
    <t>Stephane Bancel</t>
  </si>
  <si>
    <t>Molina Healthcare, Inc. (NYSE:MOH)</t>
  </si>
  <si>
    <t>Molina Healthcare, Inc.</t>
  </si>
  <si>
    <t>MOH</t>
  </si>
  <si>
    <t>Joseph Zubretsky</t>
  </si>
  <si>
    <t>Molson Coors Beverage Company (NYSE:TAP)</t>
  </si>
  <si>
    <t>Molson Coors Beverage Company</t>
  </si>
  <si>
    <t>TAP</t>
  </si>
  <si>
    <t>Gavin Hattersley</t>
  </si>
  <si>
    <t>Mondelez International, Inc. (NasdaqGS:MDLZ)</t>
  </si>
  <si>
    <t>Mondelez International, Inc.</t>
  </si>
  <si>
    <t>MDLZ</t>
  </si>
  <si>
    <t>Dirk Van de Put</t>
  </si>
  <si>
    <t>Monolithic Power Systems, Inc. (NasdaqGS:MPWR)</t>
  </si>
  <si>
    <t>Monolithic Power Systems, Inc.</t>
  </si>
  <si>
    <t>MPWR</t>
  </si>
  <si>
    <t>Michael Hsing</t>
  </si>
  <si>
    <t>Monster Beverage Corporation (NasdaqGS:MNST)</t>
  </si>
  <si>
    <t>Monster Beverage Corporation</t>
  </si>
  <si>
    <t>MNST</t>
  </si>
  <si>
    <t>Rodney Sacks</t>
  </si>
  <si>
    <t>Moody's Corporation (NYSE:MCO)</t>
  </si>
  <si>
    <t>Moody's Corporation</t>
  </si>
  <si>
    <t>MCO</t>
  </si>
  <si>
    <t>Robert Fauber</t>
  </si>
  <si>
    <t>Morgan Stanley (NYSE:MS)</t>
  </si>
  <si>
    <t>Morgan Stanley</t>
  </si>
  <si>
    <t>MS</t>
  </si>
  <si>
    <t>Edward Pick</t>
  </si>
  <si>
    <t>Motorola Solutions, Inc. (NYSE:MSI)</t>
  </si>
  <si>
    <t>Motorola Solutions, Inc.</t>
  </si>
  <si>
    <t>MSI</t>
  </si>
  <si>
    <t>Gregory Brown</t>
  </si>
  <si>
    <t>MSCI Inc. (NYSE:MSCI)</t>
  </si>
  <si>
    <t>MSCI Inc.</t>
  </si>
  <si>
    <t>MSCI</t>
  </si>
  <si>
    <t>Henry Fernandez</t>
  </si>
  <si>
    <t>Nasdaq, Inc. (NasdaqGS:NDAQ)</t>
  </si>
  <si>
    <t>Nasdaq, Inc.</t>
  </si>
  <si>
    <t>NDAQ</t>
  </si>
  <si>
    <t>Adena Friedman</t>
  </si>
  <si>
    <t>NetApp, Inc. (NasdaqGS:NTAP)</t>
  </si>
  <si>
    <t>NetApp, Inc.</t>
  </si>
  <si>
    <t>NTAP</t>
  </si>
  <si>
    <t>George Kurian</t>
  </si>
  <si>
    <t>Netflix, Inc. (NasdaqGS:NFLX)</t>
  </si>
  <si>
    <t>Netflix, Inc.</t>
  </si>
  <si>
    <t>NFLX</t>
  </si>
  <si>
    <t>Ted Sarandos</t>
  </si>
  <si>
    <t>Newmont Corporation (NYSE:NEM)</t>
  </si>
  <si>
    <t>Newmont Corporation</t>
  </si>
  <si>
    <t>NEM</t>
  </si>
  <si>
    <t>Tom Palmer</t>
  </si>
  <si>
    <t>News Corporation (NasdaqGS:NWSA)</t>
  </si>
  <si>
    <t>News Corporation</t>
  </si>
  <si>
    <t>NWSA</t>
  </si>
  <si>
    <t>Robert Thomson</t>
  </si>
  <si>
    <t>NextEra Energy, Inc. (NYSE:NEE)</t>
  </si>
  <si>
    <t>NextEra Energy, Inc.</t>
  </si>
  <si>
    <t>NEE</t>
  </si>
  <si>
    <t>John Ketchum</t>
  </si>
  <si>
    <t>NIKE, Inc. (NYSE:NKE)</t>
  </si>
  <si>
    <t>NIKE, Inc.</t>
  </si>
  <si>
    <t>NKE</t>
  </si>
  <si>
    <t>Elliott Hill</t>
  </si>
  <si>
    <t>NiSource Inc. (NYSE:NI)</t>
  </si>
  <si>
    <t>NiSource Inc.</t>
  </si>
  <si>
    <t>NI</t>
  </si>
  <si>
    <t>Lloyd Yates</t>
  </si>
  <si>
    <t>Nordson Corporation (NasdaqGS:NDSN)</t>
  </si>
  <si>
    <t>Nordson Corporation</t>
  </si>
  <si>
    <t>NDSN</t>
  </si>
  <si>
    <t>Sundar Kadayam</t>
  </si>
  <si>
    <t>Norfolk Southern Corporation (NYSE:NSC)</t>
  </si>
  <si>
    <t>Norfolk Southern Corporation</t>
  </si>
  <si>
    <t>NSC</t>
  </si>
  <si>
    <t>Mark George</t>
  </si>
  <si>
    <t>Northern Trust Corporation (NasdaqGS:NTRS)</t>
  </si>
  <si>
    <t>Northern Trust Corporation</t>
  </si>
  <si>
    <t>NTRS</t>
  </si>
  <si>
    <t>Michael O'Grady</t>
  </si>
  <si>
    <t>Northrop Grumman Corporation (NYSE:NOC)</t>
  </si>
  <si>
    <t>Northrop Grumman Corporation</t>
  </si>
  <si>
    <t>NOC</t>
  </si>
  <si>
    <t>Kathy J. Warden</t>
  </si>
  <si>
    <t>Norwegian Cruise Line Holdings Ltd. (NYSE:NCLH)</t>
  </si>
  <si>
    <t>Norwegian Cruise Line Holdings Ltd.</t>
  </si>
  <si>
    <t>NCLH</t>
  </si>
  <si>
    <t>Harry Sommer</t>
  </si>
  <si>
    <t>NRG Energy, Inc. (NYSE:NRG)</t>
  </si>
  <si>
    <t>NRG Energy, Inc.</t>
  </si>
  <si>
    <t>NRG</t>
  </si>
  <si>
    <t>Lawrence Coben</t>
  </si>
  <si>
    <t>Nucor Corporation (NYSE:NUE)</t>
  </si>
  <si>
    <t>Nucor Corporation</t>
  </si>
  <si>
    <t>NUE</t>
  </si>
  <si>
    <t>Leon Topalian</t>
  </si>
  <si>
    <t>NVIDIA Corporation (NasdaqGS:NVDA)</t>
  </si>
  <si>
    <t>NVIDIA Corporation</t>
  </si>
  <si>
    <t>NVDA</t>
  </si>
  <si>
    <t>Jensen Huang</t>
  </si>
  <si>
    <t>NVR, Inc. (NYSE:NVR)</t>
  </si>
  <si>
    <t>NVR, Inc.</t>
  </si>
  <si>
    <t>NVR</t>
  </si>
  <si>
    <t>Eugene Bredow</t>
  </si>
  <si>
    <t>O'Reilly Automotive, Inc. (NasdaqGS:ORLY)</t>
  </si>
  <si>
    <t>O'Reilly Automotive, Inc.</t>
  </si>
  <si>
    <t>ORLY</t>
  </si>
  <si>
    <t>Brad Beckham</t>
  </si>
  <si>
    <t>Occidental Petroleum Corporation (NYSE:OXY)</t>
  </si>
  <si>
    <t>Occidental Petroleum Corporation</t>
  </si>
  <si>
    <t>OXY</t>
  </si>
  <si>
    <t>Vicki A. Hollub</t>
  </si>
  <si>
    <t>Old Dominion Freight Line, Inc. (NasdaqGS:ODFL)</t>
  </si>
  <si>
    <t>Old Dominion Freight Line, Inc.</t>
  </si>
  <si>
    <t>ODFL</t>
  </si>
  <si>
    <t>Marcia Raines</t>
  </si>
  <si>
    <t>Omnicom Group Inc. (NYSE:OMC)</t>
  </si>
  <si>
    <t>Omnicom Group Inc.</t>
  </si>
  <si>
    <t>OMC</t>
  </si>
  <si>
    <t>John Wren</t>
  </si>
  <si>
    <t>ON Semiconductor Corporation (NasdaqGS:ON)</t>
  </si>
  <si>
    <t>ON Semiconductor Corporation</t>
  </si>
  <si>
    <t>ON</t>
  </si>
  <si>
    <t>Hassane El-Khoury</t>
  </si>
  <si>
    <t>ONEOK, Inc. (NYSE:OKE)</t>
  </si>
  <si>
    <t>ONEOK, Inc.</t>
  </si>
  <si>
    <t>OKE</t>
  </si>
  <si>
    <t>Pierce Norton II</t>
  </si>
  <si>
    <t>Oracle Corporation (NYSE:ORCL)</t>
  </si>
  <si>
    <t>Oracle Corporation</t>
  </si>
  <si>
    <t>ORCL</t>
  </si>
  <si>
    <t>Safra A. Catz</t>
  </si>
  <si>
    <t>Otis Worldwide Corporation (NYSE:OTIS)</t>
  </si>
  <si>
    <t>Otis Worldwide Corporation</t>
  </si>
  <si>
    <t>OTIS</t>
  </si>
  <si>
    <t>Judith F. Marks</t>
  </si>
  <si>
    <t>PACCAR Inc (NasdaqGS:PCAR)</t>
  </si>
  <si>
    <t>PACCAR Inc</t>
  </si>
  <si>
    <t>PCAR</t>
  </si>
  <si>
    <t>Preston Feight</t>
  </si>
  <si>
    <t>Packaging Corporation of America (NYSE:PKG)</t>
  </si>
  <si>
    <t>Packaging Corporation of America</t>
  </si>
  <si>
    <t>PKG</t>
  </si>
  <si>
    <t>Mark Kowlzan</t>
  </si>
  <si>
    <t>Palantir Technologies Inc. (NasdaqGS:PLTR)</t>
  </si>
  <si>
    <t>Palantir Technologies Inc.</t>
  </si>
  <si>
    <t>PLTR</t>
  </si>
  <si>
    <t>Alex Karp</t>
  </si>
  <si>
    <t>Palo Alto Networks, Inc. (NasdaqGS:PANW)</t>
  </si>
  <si>
    <t>Palo Alto Networks, Inc.</t>
  </si>
  <si>
    <t>PANW</t>
  </si>
  <si>
    <t>Nikesh Arora</t>
  </si>
  <si>
    <t>Paramount Skydance Corporation (NasdaqGS:PSKY)</t>
  </si>
  <si>
    <t>Paramount Skydance Corporation</t>
  </si>
  <si>
    <t>PSKY</t>
  </si>
  <si>
    <t>David Ellison</t>
  </si>
  <si>
    <t>Parker-Hannifin Corporation (NYSE:PH)</t>
  </si>
  <si>
    <t>Parker-Hannifin Corporation</t>
  </si>
  <si>
    <t>PH</t>
  </si>
  <si>
    <t>Jennifer A. Parmentier</t>
  </si>
  <si>
    <t>Paychex, Inc. (NasdaqGS:PAYX)</t>
  </si>
  <si>
    <t>Paychex, Inc.</t>
  </si>
  <si>
    <t>PAYX</t>
  </si>
  <si>
    <t>John Gibson</t>
  </si>
  <si>
    <t>Paycom Software, Inc. (NYSE:PAYC)</t>
  </si>
  <si>
    <t>Paycom Software, Inc.</t>
  </si>
  <si>
    <t>PAYC</t>
  </si>
  <si>
    <t>Chad Richison</t>
  </si>
  <si>
    <t>PayPal Holdings, Inc. (NasdaqGS:PYPL)</t>
  </si>
  <si>
    <t>PayPal Holdings, Inc.</t>
  </si>
  <si>
    <t>PYPL</t>
  </si>
  <si>
    <t>Alex Chriss</t>
  </si>
  <si>
    <t>PepsiCo, Inc. (NasdaqGS:PEP)</t>
  </si>
  <si>
    <t>PepsiCo, Inc.</t>
  </si>
  <si>
    <t>PEP</t>
  </si>
  <si>
    <t>Ramon Laguarta</t>
  </si>
  <si>
    <t>Pfizer Inc. (NYSE:PFE)</t>
  </si>
  <si>
    <t>Pfizer Inc.</t>
  </si>
  <si>
    <t>PFE</t>
  </si>
  <si>
    <t>Albert Bourla</t>
  </si>
  <si>
    <t>PG&amp;E Corporation (NYSE:PCG)</t>
  </si>
  <si>
    <t>PG&amp;E Corporation</t>
  </si>
  <si>
    <t>PCG</t>
  </si>
  <si>
    <t>Patricia K. Poppe</t>
  </si>
  <si>
    <t>Philip Morris International Inc. (NYSE:PM)</t>
  </si>
  <si>
    <t>Philip Morris International Inc.</t>
  </si>
  <si>
    <t>PM</t>
  </si>
  <si>
    <t>Jacek Olczak</t>
  </si>
  <si>
    <t>Phillips 66 (NYSE:PSX)</t>
  </si>
  <si>
    <t>Phillips 66</t>
  </si>
  <si>
    <t>PSX</t>
  </si>
  <si>
    <t>Mark Lashier</t>
  </si>
  <si>
    <t>Pinnacle West Capital Corporation (NYSE:PNW)</t>
  </si>
  <si>
    <t>Pinnacle West Capital Corporation</t>
  </si>
  <si>
    <t>PNW</t>
  </si>
  <si>
    <t>Jeffrey Guldner</t>
  </si>
  <si>
    <t>Pool Corporation (NasdaqGS:POOL)</t>
  </si>
  <si>
    <t>Pool Corporation</t>
  </si>
  <si>
    <t>POOL</t>
  </si>
  <si>
    <t>Peter Arvan</t>
  </si>
  <si>
    <t>PPG Industries, Inc. (NYSE:PPG)</t>
  </si>
  <si>
    <t>PPG Industries, Inc.</t>
  </si>
  <si>
    <t>PPG</t>
  </si>
  <si>
    <t>Timothy Knavish</t>
  </si>
  <si>
    <t>PPL Corporation (NYSE:PPL)</t>
  </si>
  <si>
    <t>PPL Corporation</t>
  </si>
  <si>
    <t>PPL</t>
  </si>
  <si>
    <t>Vincent Sorgi</t>
  </si>
  <si>
    <t>Principal Financial Group, Inc. (NasdaqGS:PFG)</t>
  </si>
  <si>
    <t>Principal Financial Group, Inc.</t>
  </si>
  <si>
    <t>PFG</t>
  </si>
  <si>
    <t>Deanna Strable-Soethout</t>
  </si>
  <si>
    <t>Prologis, Inc. (NYSE:PLD)</t>
  </si>
  <si>
    <t>Prologis, Inc.</t>
  </si>
  <si>
    <t>PLD</t>
  </si>
  <si>
    <t>Hamid Moghadam</t>
  </si>
  <si>
    <t>Prudential Financial, Inc. (NYSE:PRU)</t>
  </si>
  <si>
    <t>Prudential Financial, Inc.</t>
  </si>
  <si>
    <t>PRU</t>
  </si>
  <si>
    <t>Andrew Sullivan</t>
  </si>
  <si>
    <t>PTC Inc. (NasdaqGS:PTC)</t>
  </si>
  <si>
    <t>PTC Inc.</t>
  </si>
  <si>
    <t>PTC</t>
  </si>
  <si>
    <t>Neil Barua</t>
  </si>
  <si>
    <t>Public Service Enterprise Group Incorporated (NYSE:PEG)</t>
  </si>
  <si>
    <t>Public Service Enterprise Group Incorporated</t>
  </si>
  <si>
    <t>PEG</t>
  </si>
  <si>
    <t>Ralph LaRossa</t>
  </si>
  <si>
    <t>Public Storage (NYSE:PSA)</t>
  </si>
  <si>
    <t>Public Storage</t>
  </si>
  <si>
    <t>PSA</t>
  </si>
  <si>
    <t>Joseph Russell Jr.</t>
  </si>
  <si>
    <t>PulteGroup, Inc. (NYSE:PHM)</t>
  </si>
  <si>
    <t>PulteGroup, Inc.</t>
  </si>
  <si>
    <t>PHM</t>
  </si>
  <si>
    <t>Ryan Marshall</t>
  </si>
  <si>
    <t>Qnity Electronics, Inc. (NYSE:Q)</t>
  </si>
  <si>
    <t>Qnity Electronics, Inc.</t>
  </si>
  <si>
    <t>Q</t>
  </si>
  <si>
    <t>Rajeev Suri</t>
  </si>
  <si>
    <t>QUALCOMM Incorporated (NasdaqGS:QCOM)</t>
  </si>
  <si>
    <t>QUALCOMM Incorporated</t>
  </si>
  <si>
    <t>QCOM</t>
  </si>
  <si>
    <t>Cristiano Amon</t>
  </si>
  <si>
    <t>Quanta Services, Inc. (NYSE:PWR)</t>
  </si>
  <si>
    <t>Quanta Services, Inc.</t>
  </si>
  <si>
    <t>PWR</t>
  </si>
  <si>
    <t>Earl Austin Jr.</t>
  </si>
  <si>
    <t>Quest Diagnostics Incorporated (NYSE:DGX)</t>
  </si>
  <si>
    <t>Quest Diagnostics Incorporated</t>
  </si>
  <si>
    <t>DGX</t>
  </si>
  <si>
    <t>James Davis</t>
  </si>
  <si>
    <t>Ralph Lauren Corporation (NYSE:RL)</t>
  </si>
  <si>
    <t>Ralph Lauren Corporation</t>
  </si>
  <si>
    <t>RL</t>
  </si>
  <si>
    <t>Patrice Louvet</t>
  </si>
  <si>
    <t>Raymond James Financial, Inc. (NYSE:RJF)</t>
  </si>
  <si>
    <t>Raymond James Financial, Inc.</t>
  </si>
  <si>
    <t>RJF</t>
  </si>
  <si>
    <t>Paul Shoukry</t>
  </si>
  <si>
    <t>Realty Income Corporation (NYSE:O)</t>
  </si>
  <si>
    <t>Realty Income Corporation</t>
  </si>
  <si>
    <t>O</t>
  </si>
  <si>
    <t>Sumit Roy</t>
  </si>
  <si>
    <t>Regency Centers Corporation (NasdaqGS:REG)</t>
  </si>
  <si>
    <t>Regency Centers Corporation</t>
  </si>
  <si>
    <t>REG</t>
  </si>
  <si>
    <t>Lisa Palmer</t>
  </si>
  <si>
    <t>Regeneron Pharmaceuticals, Inc. (NasdaqGS:REGN)</t>
  </si>
  <si>
    <t>Regeneron Pharmaceuticals, Inc.</t>
  </si>
  <si>
    <t>REGN</t>
  </si>
  <si>
    <t>Leonard Schleifer</t>
  </si>
  <si>
    <t>Regions Financial Corporation (NYSE:RF)</t>
  </si>
  <si>
    <t>Regions Financial Corporation</t>
  </si>
  <si>
    <t>RF</t>
  </si>
  <si>
    <t>John Turner Jr.</t>
  </si>
  <si>
    <t>Republic Services, Inc. (NYSE:RSG)</t>
  </si>
  <si>
    <t>Republic Services, Inc.</t>
  </si>
  <si>
    <t>RSG</t>
  </si>
  <si>
    <t>Jon Vander Ark</t>
  </si>
  <si>
    <t>ResMed Inc. (NYSE:RMD)</t>
  </si>
  <si>
    <t>ResMed Inc.</t>
  </si>
  <si>
    <t>RMD</t>
  </si>
  <si>
    <t>Mick Farrell</t>
  </si>
  <si>
    <t>Revvity, Inc. (NYSE:RVTY)</t>
  </si>
  <si>
    <t>Revvity, Inc.</t>
  </si>
  <si>
    <t>RVTY</t>
  </si>
  <si>
    <t>Prahlad Singh</t>
  </si>
  <si>
    <t>Robinhood Markets, Inc. (NasdaqGS:HOOD)</t>
  </si>
  <si>
    <t>Robinhood Markets, Inc.</t>
  </si>
  <si>
    <t>HOOD</t>
  </si>
  <si>
    <t>Vlad Tenev</t>
  </si>
  <si>
    <t>Rockwell Automation, Inc. (NYSE:ROK)</t>
  </si>
  <si>
    <t>Rockwell Automation, Inc.</t>
  </si>
  <si>
    <t>ROK</t>
  </si>
  <si>
    <t>Blake Moret</t>
  </si>
  <si>
    <t>Rollins, Inc. (NYSE:ROL)</t>
  </si>
  <si>
    <t>Rollins, Inc.</t>
  </si>
  <si>
    <t>ROL</t>
  </si>
  <si>
    <t>Jerry Gahlhoff Jr.</t>
  </si>
  <si>
    <t>Roper Technologies, Inc. (NasdaqGS:ROP)</t>
  </si>
  <si>
    <t>Roper Technologies, Inc.</t>
  </si>
  <si>
    <t>ROP</t>
  </si>
  <si>
    <t>Neil Hunn</t>
  </si>
  <si>
    <t>Ross Stores, Inc. (NasdaqGS:ROST)</t>
  </si>
  <si>
    <t>Ross Stores, Inc.</t>
  </si>
  <si>
    <t>ROST</t>
  </si>
  <si>
    <t>Barbara Rentler</t>
  </si>
  <si>
    <t>Royal Caribbean Cruises Ltd. (NYSE:RCL)</t>
  </si>
  <si>
    <t>Royal Caribbean Cruises Ltd.</t>
  </si>
  <si>
    <t>RCL</t>
  </si>
  <si>
    <t>Jason Liberty</t>
  </si>
  <si>
    <t>RTX Corporation (NYSE:RTX)</t>
  </si>
  <si>
    <t>RTX Corporation</t>
  </si>
  <si>
    <t>RTX</t>
  </si>
  <si>
    <t>Christopher Calio</t>
  </si>
  <si>
    <t>S&amp;P Global Inc. (NYSE:SPGI)</t>
  </si>
  <si>
    <t>S&amp;P Global Inc.</t>
  </si>
  <si>
    <t>SPGI</t>
  </si>
  <si>
    <t>Martina Cheung</t>
  </si>
  <si>
    <t>Salesforce, Inc. (NYSE:CRM)</t>
  </si>
  <si>
    <t>Salesforce, Inc.</t>
  </si>
  <si>
    <t>CRM</t>
  </si>
  <si>
    <t>Marc Benioff</t>
  </si>
  <si>
    <t>Sandisk Corporation (NasdaqGS:SNDK)</t>
  </si>
  <si>
    <t>Sandisk Corporation</t>
  </si>
  <si>
    <t>SNDK</t>
  </si>
  <si>
    <t>David Goeckeler</t>
  </si>
  <si>
    <t>SBA Communications Corporation (NasdaqGS:SBAC)</t>
  </si>
  <si>
    <t>SBA Communications Corporation</t>
  </si>
  <si>
    <t>SBAC</t>
  </si>
  <si>
    <t>Jeffrey Stoops</t>
  </si>
  <si>
    <t>Sempra (NYSE:SRE)</t>
  </si>
  <si>
    <t>Sempra</t>
  </si>
  <si>
    <t>SRE</t>
  </si>
  <si>
    <t>Jeffrey Martin</t>
  </si>
  <si>
    <t>ServiceNow, Inc. (NYSE:NOW)</t>
  </si>
  <si>
    <t>ServiceNow, Inc.</t>
  </si>
  <si>
    <t>NOW</t>
  </si>
  <si>
    <t>William McDermott</t>
  </si>
  <si>
    <t>Simon Property Group, Inc. (NYSE:SPG)</t>
  </si>
  <si>
    <t>Simon Property Group, Inc.</t>
  </si>
  <si>
    <t>SPG</t>
  </si>
  <si>
    <t>David Simon</t>
  </si>
  <si>
    <t>Skyworks Solutions, Inc. (NasdaqGS:SWKS)</t>
  </si>
  <si>
    <t>Skyworks Solutions, Inc.</t>
  </si>
  <si>
    <t>SWKS</t>
  </si>
  <si>
    <t>Liam Griffin</t>
  </si>
  <si>
    <t>SLB N.V. (NYSE:SLB)</t>
  </si>
  <si>
    <t>SLB N.V.</t>
  </si>
  <si>
    <t>SLB</t>
  </si>
  <si>
    <t>Olivier Le Peuch</t>
  </si>
  <si>
    <t>Snap-on Incorporated (NYSE:SNA)</t>
  </si>
  <si>
    <t>Snap-on Incorporated</t>
  </si>
  <si>
    <t>SNA</t>
  </si>
  <si>
    <t>Nick Pinchuk</t>
  </si>
  <si>
    <t>Solventum Corporation (NYSE:SOLV)</t>
  </si>
  <si>
    <t>Solventum Corporation</t>
  </si>
  <si>
    <t>SOLV</t>
  </si>
  <si>
    <t>Bryan Hanson</t>
  </si>
  <si>
    <t>Southwest Airlines Co. (NYSE:LUV)</t>
  </si>
  <si>
    <t>Southwest Airlines Co.</t>
  </si>
  <si>
    <t>LUV</t>
  </si>
  <si>
    <t>Bob Jordan</t>
  </si>
  <si>
    <t>Stanley Black &amp; Decker, Inc. (NYSE:SWK)</t>
  </si>
  <si>
    <t>Stanley Black &amp; Decker, Inc.</t>
  </si>
  <si>
    <t>SWK</t>
  </si>
  <si>
    <t>Donald Allan Jr.</t>
  </si>
  <si>
    <t>Starbucks Corporation (NasdaqGS:SBUX)</t>
  </si>
  <si>
    <t>Starbucks Corporation</t>
  </si>
  <si>
    <t>SBUX</t>
  </si>
  <si>
    <t>Brian Niccol</t>
  </si>
  <si>
    <t>State Street Corporation (NYSE:STT)</t>
  </si>
  <si>
    <t>State Street Corporation</t>
  </si>
  <si>
    <t>STT</t>
  </si>
  <si>
    <t>Ronald O'Hanley</t>
  </si>
  <si>
    <t>Steel Dynamics, Inc. (NasdaqGS:STLD)</t>
  </si>
  <si>
    <t>Steel Dynamics, Inc.</t>
  </si>
  <si>
    <t>STLD</t>
  </si>
  <si>
    <t>Mark Millett</t>
  </si>
  <si>
    <t>STERIS plc (NYSE:STE)</t>
  </si>
  <si>
    <t>STERIS plc</t>
  </si>
  <si>
    <t>STE</t>
  </si>
  <si>
    <t>Daniel Carestio</t>
  </si>
  <si>
    <t>Stryker Corporation (NYSE:SYK)</t>
  </si>
  <si>
    <t>Stryker Corporation</t>
  </si>
  <si>
    <t>SYK</t>
  </si>
  <si>
    <t>Kevin Lobo</t>
  </si>
  <si>
    <t>Super Micro Computer, Inc. (NasdaqGS:SMCI)</t>
  </si>
  <si>
    <t>Super Micro Computer, Inc.</t>
  </si>
  <si>
    <t>SMCI</t>
  </si>
  <si>
    <t>Charles Liang</t>
  </si>
  <si>
    <t>Synchrony Financial (NYSE:SYF)</t>
  </si>
  <si>
    <t>Synchrony Financial</t>
  </si>
  <si>
    <t>SYF</t>
  </si>
  <si>
    <t>Brian Doubles</t>
  </si>
  <si>
    <t>Synopsys, Inc. (NasdaqGS:SNPS)</t>
  </si>
  <si>
    <t>Synopsys, Inc.</t>
  </si>
  <si>
    <t>SNPS</t>
  </si>
  <si>
    <t>Sassine Ghazi</t>
  </si>
  <si>
    <t>Sysco Corporation (NYSE:SYY)</t>
  </si>
  <si>
    <t>Sysco Corporation</t>
  </si>
  <si>
    <t>SYY</t>
  </si>
  <si>
    <t>Kevin Hourican</t>
  </si>
  <si>
    <t>T-Mobile US, Inc. (NasdaqGS:TMUS)</t>
  </si>
  <si>
    <t>T-Mobile US, Inc.</t>
  </si>
  <si>
    <t>TMUS</t>
  </si>
  <si>
    <t>Mike Sievert</t>
  </si>
  <si>
    <t>T. Rowe Price Group, Inc. (NasdaqGS:TROW)</t>
  </si>
  <si>
    <t>T. Rowe Price Group, Inc.</t>
  </si>
  <si>
    <t>TROW</t>
  </si>
  <si>
    <t>Rob Sharps</t>
  </si>
  <si>
    <t>Take-Two Interactive Software, Inc. (NasdaqGS:TTWO)</t>
  </si>
  <si>
    <t>Take-Two Interactive Software, Inc.</t>
  </si>
  <si>
    <t>TTWO</t>
  </si>
  <si>
    <t>Strauss Zelnick</t>
  </si>
  <si>
    <t>Tapestry, Inc. (NYSE:TPR)</t>
  </si>
  <si>
    <t>Tapestry, Inc.</t>
  </si>
  <si>
    <t>TPR</t>
  </si>
  <si>
    <t>Joanne Crevoiserat</t>
  </si>
  <si>
    <t>Targa Resources Corp. (NYSE:TRGP)</t>
  </si>
  <si>
    <t>Targa Resources Corp.</t>
  </si>
  <si>
    <t>TRGP</t>
  </si>
  <si>
    <t>Matthew Meloy</t>
  </si>
  <si>
    <t>Target Corporation (NYSE:TGT)</t>
  </si>
  <si>
    <t>Target Corporation</t>
  </si>
  <si>
    <t>TGT</t>
  </si>
  <si>
    <t>Brian Cornell</t>
  </si>
  <si>
    <t>Teledyne Technologies Incorporated (NYSE:TDY)</t>
  </si>
  <si>
    <t>Teledyne Technologies Incorporated</t>
  </si>
  <si>
    <t>TDY</t>
  </si>
  <si>
    <t>Edwin Roks</t>
  </si>
  <si>
    <t>Teradyne, Inc. (NasdaqGS:TER)</t>
  </si>
  <si>
    <t>Teradyne, Inc.</t>
  </si>
  <si>
    <t>TER</t>
  </si>
  <si>
    <t>Greg Smith</t>
  </si>
  <si>
    <t>Tesla, Inc. (NasdaqGS:TSLA)</t>
  </si>
  <si>
    <t>Tesla, Inc.</t>
  </si>
  <si>
    <t>TSLA</t>
  </si>
  <si>
    <t>Elon Musk</t>
  </si>
  <si>
    <t>Texas Instruments Incorporated (NasdaqGS:TXN)</t>
  </si>
  <si>
    <t>Texas Instruments Incorporated</t>
  </si>
  <si>
    <t>TXN</t>
  </si>
  <si>
    <t>Haviv Ilan</t>
  </si>
  <si>
    <t>Texas Pacific Land Corporation (NYSE:TPL)</t>
  </si>
  <si>
    <t>Texas Pacific Land Corporation</t>
  </si>
  <si>
    <t>TPL</t>
  </si>
  <si>
    <t>Tyler Glover</t>
  </si>
  <si>
    <t>Textron Inc. (NYSE:TXT)</t>
  </si>
  <si>
    <t>Textron Inc.</t>
  </si>
  <si>
    <t>TXT</t>
  </si>
  <si>
    <t>Scott Donnelly</t>
  </si>
  <si>
    <t>The AES Corporation (NYSE:AES)</t>
  </si>
  <si>
    <t>The AES Corporation</t>
  </si>
  <si>
    <t>AES</t>
  </si>
  <si>
    <t>Andres Gluski</t>
  </si>
  <si>
    <t>The Allstate Corporation (NYSE:ALL)</t>
  </si>
  <si>
    <t>The Allstate Corporation</t>
  </si>
  <si>
    <t>ALL</t>
  </si>
  <si>
    <t>Thomas Wilson</t>
  </si>
  <si>
    <t>The Bank of New York Mellon Corporation (NYSE:BK)</t>
  </si>
  <si>
    <t>The Bank of New York Mellon Corporation</t>
  </si>
  <si>
    <t>BK</t>
  </si>
  <si>
    <t>Robin Vince</t>
  </si>
  <si>
    <t>The Boeing Company (NYSE:BA)</t>
  </si>
  <si>
    <t>The Boeing Company</t>
  </si>
  <si>
    <t>BA</t>
  </si>
  <si>
    <t>Kelly Ortberg</t>
  </si>
  <si>
    <t>The Campbell's Company (NasdaqGS:CPB)</t>
  </si>
  <si>
    <t>The Campbell's Company</t>
  </si>
  <si>
    <t>CPB</t>
  </si>
  <si>
    <t>Mick Beekhuizen</t>
  </si>
  <si>
    <t>The Charles Schwab Corporation (NYSE:SCHW)</t>
  </si>
  <si>
    <t>The Charles Schwab Corporation</t>
  </si>
  <si>
    <t>SCHW</t>
  </si>
  <si>
    <t>Rick Wurster</t>
  </si>
  <si>
    <t>The Cigna Group (NYSE:CI)</t>
  </si>
  <si>
    <t>The Cigna Group</t>
  </si>
  <si>
    <t>CI</t>
  </si>
  <si>
    <t>David Cordani</t>
  </si>
  <si>
    <t>The Clorox Company (NYSE:CLX)</t>
  </si>
  <si>
    <t>The Clorox Company</t>
  </si>
  <si>
    <t>CLX</t>
  </si>
  <si>
    <t>Linda Rendle</t>
  </si>
  <si>
    <t>The Coca-Cola Company (NYSE:KO)</t>
  </si>
  <si>
    <t>The Coca-Cola Company</t>
  </si>
  <si>
    <t>KO</t>
  </si>
  <si>
    <t>James Quincey</t>
  </si>
  <si>
    <t>The Cooper Companies, Inc. (NasdaqGS:COO)</t>
  </si>
  <si>
    <t>The Cooper Companies, Inc.</t>
  </si>
  <si>
    <t>COO</t>
  </si>
  <si>
    <t>Albert White</t>
  </si>
  <si>
    <t>The Estee Lauder Companies Inc. (NYSE:EL)</t>
  </si>
  <si>
    <t>The Estee Lauder Companies Inc.</t>
  </si>
  <si>
    <t>EL</t>
  </si>
  <si>
    <t>Stephane de La Faverie</t>
  </si>
  <si>
    <t>The Goldman Sachs Group, Inc. (NYSE:GS)</t>
  </si>
  <si>
    <t>The Goldman Sachs Group, Inc.</t>
  </si>
  <si>
    <t>GS</t>
  </si>
  <si>
    <t>David Solomon</t>
  </si>
  <si>
    <t>The Hartford Insurance Group, Inc. (NYSE:HIG)</t>
  </si>
  <si>
    <t>The Hartford Insurance Group, Inc.</t>
  </si>
  <si>
    <t>HIG</t>
  </si>
  <si>
    <t>Christopher Swift</t>
  </si>
  <si>
    <t>The Hershey Company (NYSE:HSY)</t>
  </si>
  <si>
    <t>The Hershey Company</t>
  </si>
  <si>
    <t>HSY</t>
  </si>
  <si>
    <t>Michele G. Buck</t>
  </si>
  <si>
    <t>The Home Depot, Inc. (NYSE:HD)</t>
  </si>
  <si>
    <t>The Home Depot, Inc.</t>
  </si>
  <si>
    <t>HD</t>
  </si>
  <si>
    <t>Edward Decker</t>
  </si>
  <si>
    <t>The J. M. Smucker Company (NYSE:SJM)</t>
  </si>
  <si>
    <t>The J. M. Smucker Company</t>
  </si>
  <si>
    <t>SJM</t>
  </si>
  <si>
    <t>Mark Smucker</t>
  </si>
  <si>
    <t>The Kraft Heinz Company (NasdaqGS:KHC)</t>
  </si>
  <si>
    <t>The Kraft Heinz Company</t>
  </si>
  <si>
    <t>KHC</t>
  </si>
  <si>
    <t>Carlos Abrams-Rivera</t>
  </si>
  <si>
    <t>The Kroger Co. (NYSE:KR)</t>
  </si>
  <si>
    <t>The Kroger Co.</t>
  </si>
  <si>
    <t>KR</t>
  </si>
  <si>
    <t>Ronald Sargent</t>
  </si>
  <si>
    <t>The Mosaic Company (NYSE:MOS)</t>
  </si>
  <si>
    <t>The Mosaic Company</t>
  </si>
  <si>
    <t>MOS</t>
  </si>
  <si>
    <t>Bruce Bodine</t>
  </si>
  <si>
    <t>The PNC Financial Services Group, Inc. (NYSE:PNC)</t>
  </si>
  <si>
    <t>The PNC Financial Services Group, Inc.</t>
  </si>
  <si>
    <t>PNC</t>
  </si>
  <si>
    <t>William Demchak</t>
  </si>
  <si>
    <t>The Procter &amp; Gamble Company (NYSE:PG)</t>
  </si>
  <si>
    <t>The Procter &amp; Gamble Company</t>
  </si>
  <si>
    <t>PG</t>
  </si>
  <si>
    <t>Jon Moeller</t>
  </si>
  <si>
    <t>The Progressive Corporation (NYSE:PGR)</t>
  </si>
  <si>
    <t>The Progressive Corporation</t>
  </si>
  <si>
    <t>PGR</t>
  </si>
  <si>
    <t>Susan Patricia Griffith</t>
  </si>
  <si>
    <t>The Sherwin-Williams Company (NYSE:SHW)</t>
  </si>
  <si>
    <t>The Sherwin-Williams Company</t>
  </si>
  <si>
    <t>SHW</t>
  </si>
  <si>
    <t>Heidi G. Petz</t>
  </si>
  <si>
    <t>The Southern Company (NYSE:SO)</t>
  </si>
  <si>
    <t>The Southern Company</t>
  </si>
  <si>
    <t>SO</t>
  </si>
  <si>
    <t>Christopher Womack</t>
  </si>
  <si>
    <t>The TJX Companies, Inc. (NYSE:TJX)</t>
  </si>
  <si>
    <t>The TJX Companies, Inc.</t>
  </si>
  <si>
    <t>TJX</t>
  </si>
  <si>
    <t>Ernie Herrman</t>
  </si>
  <si>
    <t>The Trade Desk, Inc. (NasdaqGM:TTD)</t>
  </si>
  <si>
    <t>The Trade Desk, Inc.</t>
  </si>
  <si>
    <t>NasdaqGM</t>
  </si>
  <si>
    <t>TTD</t>
  </si>
  <si>
    <t>Jeff Green</t>
  </si>
  <si>
    <t>The Travelers Companies, Inc. (NYSE:TRV)</t>
  </si>
  <si>
    <t>The Travelers Companies, Inc.</t>
  </si>
  <si>
    <t>TRV</t>
  </si>
  <si>
    <t>Alan Schnitzer</t>
  </si>
  <si>
    <t>The Walt Disney Company (NYSE:DIS)</t>
  </si>
  <si>
    <t>The Walt Disney Company</t>
  </si>
  <si>
    <t>DIS</t>
  </si>
  <si>
    <t>Robert Iger</t>
  </si>
  <si>
    <t>The Williams Companies, Inc. (NYSE:WMB)</t>
  </si>
  <si>
    <t>The Williams Companies, Inc.</t>
  </si>
  <si>
    <t>WMB</t>
  </si>
  <si>
    <t>Alan Armstrong</t>
  </si>
  <si>
    <t>Thermo Fisher Scientific Inc. (NYSE:TMO)</t>
  </si>
  <si>
    <t>Thermo Fisher Scientific Inc.</t>
  </si>
  <si>
    <t>TMO</t>
  </si>
  <si>
    <t>Marc Casper</t>
  </si>
  <si>
    <t>TKO Group Holdings, Inc. (NYSE:TKO)</t>
  </si>
  <si>
    <t>TKO Group Holdings, Inc.</t>
  </si>
  <si>
    <t>TKO</t>
  </si>
  <si>
    <t>Ariel Emanuel</t>
  </si>
  <si>
    <t>Tractor Supply Company (NasdaqGS:TSCO)</t>
  </si>
  <si>
    <t>Tractor Supply Company</t>
  </si>
  <si>
    <t>TSCO</t>
  </si>
  <si>
    <t>Hal Lawton</t>
  </si>
  <si>
    <t>TransDigm Group Incorporated (NYSE:TDG)</t>
  </si>
  <si>
    <t>TransDigm Group Incorporated</t>
  </si>
  <si>
    <t>TDG</t>
  </si>
  <si>
    <t>Kevin Stein</t>
  </si>
  <si>
    <t>Trimble Inc. (NasdaqGS:TRMB)</t>
  </si>
  <si>
    <t>Trimble Inc.</t>
  </si>
  <si>
    <t>TRMB</t>
  </si>
  <si>
    <t>Rob Painter</t>
  </si>
  <si>
    <t>Truist Financial Corporation (NYSE:TFC)</t>
  </si>
  <si>
    <t>Truist Financial Corporation</t>
  </si>
  <si>
    <t>TFC</t>
  </si>
  <si>
    <t>William Rogers Jr.</t>
  </si>
  <si>
    <t>Tyler Technologies, Inc. (NYSE:TYL)</t>
  </si>
  <si>
    <t>Tyler Technologies, Inc.</t>
  </si>
  <si>
    <t>TYL</t>
  </si>
  <si>
    <t>Lynn Moore</t>
  </si>
  <si>
    <t>Tyson Foods, Inc. (NYSE:TSN)</t>
  </si>
  <si>
    <t>Tyson Foods, Inc.</t>
  </si>
  <si>
    <t>TSN</t>
  </si>
  <si>
    <t>Donnie King</t>
  </si>
  <si>
    <t>U.S. Bancorp (NYSE:USB)</t>
  </si>
  <si>
    <t>U.S. Bancorp</t>
  </si>
  <si>
    <t>USB</t>
  </si>
  <si>
    <t>Gunjan Kedia</t>
  </si>
  <si>
    <t>Uber Technologies, Inc. (NYSE:UBER)</t>
  </si>
  <si>
    <t>Uber Technologies, Inc.</t>
  </si>
  <si>
    <t>UBER</t>
  </si>
  <si>
    <t>Dara Khosrowshahi</t>
  </si>
  <si>
    <t>UDR, Inc. (NYSE:UDR)</t>
  </si>
  <si>
    <t>UDR, Inc.</t>
  </si>
  <si>
    <t>UDR</t>
  </si>
  <si>
    <t>Tom Toomey</t>
  </si>
  <si>
    <t>Ulta Beauty, Inc. (NasdaqGS:ULTA)</t>
  </si>
  <si>
    <t>Ulta Beauty, Inc.</t>
  </si>
  <si>
    <t>ULTA</t>
  </si>
  <si>
    <t>Kecia Steelman</t>
  </si>
  <si>
    <t>Union Pacific Corporation (NYSE:UNP)</t>
  </si>
  <si>
    <t>Union Pacific Corporation</t>
  </si>
  <si>
    <t>UNP</t>
  </si>
  <si>
    <t>Jim Vena</t>
  </si>
  <si>
    <t>United Airlines Holdings, Inc. (NasdaqGS:UAL)</t>
  </si>
  <si>
    <t>United Airlines Holdings, Inc.</t>
  </si>
  <si>
    <t>UAL</t>
  </si>
  <si>
    <t>Scott Kirby</t>
  </si>
  <si>
    <t>United Parcel Service, Inc. (NYSE:UPS)</t>
  </si>
  <si>
    <t>United Parcel Service, Inc.</t>
  </si>
  <si>
    <t>UPS</t>
  </si>
  <si>
    <t>Carol B. Tome</t>
  </si>
  <si>
    <t>United Rentals, Inc. (NYSE:URI)</t>
  </si>
  <si>
    <t>United Rentals, Inc.</t>
  </si>
  <si>
    <t>URI</t>
  </si>
  <si>
    <t>Matthew Flannery</t>
  </si>
  <si>
    <t>UnitedHealth Group Incorporated (NYSE:UNH)</t>
  </si>
  <si>
    <t>UnitedHealth Group Incorporated</t>
  </si>
  <si>
    <t>UNH</t>
  </si>
  <si>
    <t>Stephen Hemsley</t>
  </si>
  <si>
    <t>Universal Health Services, Inc. (NYSE:UHS)</t>
  </si>
  <si>
    <t>Universal Health Services, Inc.</t>
  </si>
  <si>
    <t>UHS</t>
  </si>
  <si>
    <t>Marc Miller</t>
  </si>
  <si>
    <t>Valero Energy Corporation (NYSE:VLO)</t>
  </si>
  <si>
    <t>Valero Energy Corporation</t>
  </si>
  <si>
    <t>VLO</t>
  </si>
  <si>
    <t>Lane Riggs</t>
  </si>
  <si>
    <t>Ventas, Inc. (NYSE:VTR)</t>
  </si>
  <si>
    <t>Ventas, Inc.</t>
  </si>
  <si>
    <t>VTR</t>
  </si>
  <si>
    <t>Debra Cafaro</t>
  </si>
  <si>
    <t>Veralto Corporation (NYSE:VLTO)</t>
  </si>
  <si>
    <t>Veralto Corporation</t>
  </si>
  <si>
    <t>VLTO</t>
  </si>
  <si>
    <t>Jennifer Honeycutt</t>
  </si>
  <si>
    <t>VeriSign, Inc. (NasdaqGS:VRSN)</t>
  </si>
  <si>
    <t>VeriSign, Inc.</t>
  </si>
  <si>
    <t>VRSN</t>
  </si>
  <si>
    <t>Jim Bidzos</t>
  </si>
  <si>
    <t>Verisk Analytics, Inc. (NasdaqGS:VRSK)</t>
  </si>
  <si>
    <t>Verisk Analytics, Inc.</t>
  </si>
  <si>
    <t>VRSK</t>
  </si>
  <si>
    <t>Lee Shavel</t>
  </si>
  <si>
    <t>Verizon Communications Inc. (NYSE:VZ)</t>
  </si>
  <si>
    <t>Verizon Communications Inc.</t>
  </si>
  <si>
    <t>VZ</t>
  </si>
  <si>
    <t>Hans Vestberg</t>
  </si>
  <si>
    <t>Vertex Pharmaceuticals Incorporated (NasdaqGS:VRTX)</t>
  </si>
  <si>
    <t>Vertex Pharmaceuticals Incorporated</t>
  </si>
  <si>
    <t>VRTX</t>
  </si>
  <si>
    <t>Reshma Kewalramani</t>
  </si>
  <si>
    <t>Viatris Inc. (NasdaqGS:VTRS)</t>
  </si>
  <si>
    <t>Viatris Inc.</t>
  </si>
  <si>
    <t>VTRS</t>
  </si>
  <si>
    <t>Scott Smith</t>
  </si>
  <si>
    <t>VICI Properties Inc. (NYSE:VICI)</t>
  </si>
  <si>
    <t>VICI Properties Inc.</t>
  </si>
  <si>
    <t>VICI</t>
  </si>
  <si>
    <t>Edward Pitoniak</t>
  </si>
  <si>
    <t>Visa Inc. (NYSE:V)</t>
  </si>
  <si>
    <t>Visa Inc.</t>
  </si>
  <si>
    <t>V</t>
  </si>
  <si>
    <t>Ryan McInerney</t>
  </si>
  <si>
    <t>Vistra Corp. (NYSE:VST)</t>
  </si>
  <si>
    <t>Vistra Corp.</t>
  </si>
  <si>
    <t>VST</t>
  </si>
  <si>
    <t>Jim Burke</t>
  </si>
  <si>
    <t>Vulcan Materials Company (NYSE:VMC)</t>
  </si>
  <si>
    <t>Vulcan Materials Company</t>
  </si>
  <si>
    <t>VMC</t>
  </si>
  <si>
    <t>Thomas Hill</t>
  </si>
  <si>
    <t>W. R. Berkley Corporation (NYSE:WRB)</t>
  </si>
  <si>
    <t>W. R. Berkley Corporation</t>
  </si>
  <si>
    <t>WRB</t>
  </si>
  <si>
    <t>Robert Berkley Jr.</t>
  </si>
  <si>
    <t>W.W. Grainger, Inc. (NYSE:GWW)</t>
  </si>
  <si>
    <t>W.W. Grainger, Inc.</t>
  </si>
  <si>
    <t>GWW</t>
  </si>
  <si>
    <t>D.G. Macpherson</t>
  </si>
  <si>
    <t>Walmart Inc. (NasdaqGS:WMT)</t>
  </si>
  <si>
    <t>Walmart Inc.</t>
  </si>
  <si>
    <t>WMT</t>
  </si>
  <si>
    <t>Doug McMillon</t>
  </si>
  <si>
    <t>Warner Bros. Discovery, Inc. (NasdaqGS:WBD)</t>
  </si>
  <si>
    <t>Warner Bros. Discovery, Inc.</t>
  </si>
  <si>
    <t>WBD</t>
  </si>
  <si>
    <t>David Zaslav</t>
  </si>
  <si>
    <t>Waste Management, Inc. (NYSE:WM)</t>
  </si>
  <si>
    <t>Waste Management, Inc.</t>
  </si>
  <si>
    <t>WM</t>
  </si>
  <si>
    <t>James Fish Jr.</t>
  </si>
  <si>
    <t>Waters Corporation (NYSE:WAT)</t>
  </si>
  <si>
    <t>Waters Corporation</t>
  </si>
  <si>
    <t>WAT</t>
  </si>
  <si>
    <t>Udit Batra</t>
  </si>
  <si>
    <t>WEC Energy Group, Inc. (NYSE:WEC)</t>
  </si>
  <si>
    <t>WEC Energy Group, Inc.</t>
  </si>
  <si>
    <t>WEC</t>
  </si>
  <si>
    <t>Scott Lauber</t>
  </si>
  <si>
    <t>Wells Fargo &amp; Company (NYSE:WFC)</t>
  </si>
  <si>
    <t>Wells Fargo &amp; Company</t>
  </si>
  <si>
    <t>WFC</t>
  </si>
  <si>
    <t>Charles Scharf</t>
  </si>
  <si>
    <t>Welltower Inc. (NYSE:WELL)</t>
  </si>
  <si>
    <t>Welltower Inc.</t>
  </si>
  <si>
    <t>WELL</t>
  </si>
  <si>
    <t>Shankh Mitra</t>
  </si>
  <si>
    <t>West Pharmaceutical Services, Inc. (NYSE:WST)</t>
  </si>
  <si>
    <t>West Pharmaceutical Services, Inc.</t>
  </si>
  <si>
    <t>WST</t>
  </si>
  <si>
    <t>Eric Green</t>
  </si>
  <si>
    <t>Western Digital Corporation (NasdaqGS:WDC)</t>
  </si>
  <si>
    <t>Western Digital Corporation</t>
  </si>
  <si>
    <t>WDC</t>
  </si>
  <si>
    <t>Westinghouse Air Brake Technologies Corporation (NYSE:WAB)</t>
  </si>
  <si>
    <t>Westinghouse Air Brake Technologies Corporation</t>
  </si>
  <si>
    <t>WAB</t>
  </si>
  <si>
    <t>Rafael Santana</t>
  </si>
  <si>
    <t>Weyerhaeuser Company (NYSE:WY)</t>
  </si>
  <si>
    <t>Weyerhaeuser Company</t>
  </si>
  <si>
    <t>WY</t>
  </si>
  <si>
    <t>Devin Stockfish</t>
  </si>
  <si>
    <t>Williams-Sonoma, Inc. (NYSE:WSM)</t>
  </si>
  <si>
    <t>Williams-Sonoma, Inc.</t>
  </si>
  <si>
    <t>WSM</t>
  </si>
  <si>
    <t>Laura J. Alber</t>
  </si>
  <si>
    <t>Laura Alber</t>
  </si>
  <si>
    <t>Workday, Inc. (NasdaqGS:WDAY)</t>
  </si>
  <si>
    <t>Workday, Inc.</t>
  </si>
  <si>
    <t>WDAY</t>
  </si>
  <si>
    <t>Carl Eschenbach</t>
  </si>
  <si>
    <t>Wynn Resorts, Limited (NasdaqGS:WYNN)</t>
  </si>
  <si>
    <t>Wynn Resorts, Limited</t>
  </si>
  <si>
    <t>WYNN</t>
  </si>
  <si>
    <t>Craig Billings</t>
  </si>
  <si>
    <t>Xcel Energy Inc. (NasdaqGS:XEL)</t>
  </si>
  <si>
    <t>Xcel Energy Inc.</t>
  </si>
  <si>
    <t>XEL</t>
  </si>
  <si>
    <t>Bob Frenzel</t>
  </si>
  <si>
    <t>Xylem Inc. (NYSE:XYL)</t>
  </si>
  <si>
    <t>Xylem Inc.</t>
  </si>
  <si>
    <t>XYL</t>
  </si>
  <si>
    <t>Matthew Pine</t>
  </si>
  <si>
    <t>Yum! Brands, Inc. (NYSE:YUM)</t>
  </si>
  <si>
    <t>Yum! Brands, Inc.</t>
  </si>
  <si>
    <t>YUM</t>
  </si>
  <si>
    <t>David Gibbs</t>
  </si>
  <si>
    <t>Zebra Technologies Corporation (NasdaqGS:ZBRA)</t>
  </si>
  <si>
    <t>Zebra Technologies Corporation</t>
  </si>
  <si>
    <t>ZBRA</t>
  </si>
  <si>
    <t>Bill Burns</t>
  </si>
  <si>
    <t>Zimmer Biomet Holdings, Inc. (NYSE:ZBH)</t>
  </si>
  <si>
    <t>Zimmer Biomet Holdings, Inc.</t>
  </si>
  <si>
    <t>ZBH</t>
  </si>
  <si>
    <t>Ivan Tornos</t>
  </si>
  <si>
    <t>Zoetis Inc. (NYSE:ZTS)</t>
  </si>
  <si>
    <t>Zoetis Inc.</t>
  </si>
  <si>
    <t>ZTS</t>
  </si>
  <si>
    <t>Kristin C. Peck</t>
  </si>
  <si>
    <t>Total number of companies</t>
  </si>
  <si>
    <t>Female ceos</t>
  </si>
  <si>
    <t>2026 Female CEOs of the S&amp;P 500 by Industry | Research.com</t>
  </si>
  <si>
    <t>Fortune 500 CEOs</t>
  </si>
  <si>
    <t>Fortune 500 Companies List (2026) | Full Rankings | 50Pros</t>
  </si>
  <si>
    <t>Noticable CEOs</t>
  </si>
  <si>
    <t>List of chief executive officers - Wikipedia</t>
  </si>
  <si>
    <t>CapIQ</t>
  </si>
  <si>
    <t>Gender ratio</t>
  </si>
  <si>
    <t>List of women CEOs of Fortune 500 companies - Wikipedia</t>
  </si>
  <si>
    <t>Googled some of the CEOs to identify their gender</t>
  </si>
  <si>
    <t>Age of company</t>
  </si>
  <si>
    <t>Capital IQ Company Screening Report</t>
  </si>
  <si>
    <t>Exchange:Ticker</t>
  </si>
  <si>
    <t>Index Constituents [Secondary Listings]</t>
  </si>
  <si>
    <t>Primary Address</t>
  </si>
  <si>
    <t>NYSE:MMM</t>
  </si>
  <si>
    <t>Headquarters
3M Center 
Saint Paul, Minnesota    55144-1000
United States
Main Phone: 651 733 1110</t>
  </si>
  <si>
    <t>NYSE:AOS</t>
  </si>
  <si>
    <t>Headquarters
11270 West Park Place 
Milwaukee, Wisconsin    53224
United States
Main Phone: 414 359 4000</t>
  </si>
  <si>
    <t>NYSE:ABT</t>
  </si>
  <si>
    <t>Headquarters
100 Abbott Park Road
Abbott Park 
Lake County, Illinois    60064-6400
United States
Main Phone: 224 667 6100</t>
  </si>
  <si>
    <t>NYSE:ABBV</t>
  </si>
  <si>
    <t>Headquarters
1 North Waukegan Road 
North Chicago, Illinois    60064-6400
United States
Main Phone: 847 932 7900</t>
  </si>
  <si>
    <t>NasdaqGS:ADBE</t>
  </si>
  <si>
    <t>Headquarters
345 Park Avenue 
San Jose, California    95110-2704
United States
Main Phone: 408 536 6000
Main Fax: 408 537 6000</t>
  </si>
  <si>
    <t>NasdaqGS:AMD</t>
  </si>
  <si>
    <t>Headquarters
2485 Augustine Drive 
Santa Clara, California    95054
United States
Main Phone: 408 749 4000</t>
  </si>
  <si>
    <t>NYSE:AFL</t>
  </si>
  <si>
    <t>Headquarters
1932 Wynnton Road 
Columbus, Georgia    31999-7251
United States
Main Phone: 706 323 3431
Main Fax: 706 660 7080</t>
  </si>
  <si>
    <t>NYSE:A</t>
  </si>
  <si>
    <t>Headquarters
5301 Stevens Creek Boulevard 
Santa Clara, California    95051
United States
Main Phone: 800 227 9770</t>
  </si>
  <si>
    <t>NYSE:APD</t>
  </si>
  <si>
    <t>Headquarters
1940 Air Products Boulevard 
Allentown, Pennsylvania    18106-5500
United States
Main Phone: 610 481 4911</t>
  </si>
  <si>
    <t>NasdaqGS:ABNB</t>
  </si>
  <si>
    <t>Headquarters
888 Brannan Street 
San Francisco, California    94103
United States
Main Phone: (415) 728-0108</t>
  </si>
  <si>
    <t>NasdaqGS:AKAM</t>
  </si>
  <si>
    <t>Headquarters
145 Broadway 
Cambridge, Massachusetts    02142
United States
Main Phone: 617 444 3000
Main Fax: 617 444 3001</t>
  </si>
  <si>
    <t>NYSE:ALB</t>
  </si>
  <si>
    <t>Headquarters
4250 Congress Street
Suite 900 
Charlotte, North Carolina    28209
United States
Main Phone: 980 299 5700
Main Fax: 980 299 5512</t>
  </si>
  <si>
    <t>NYSE:ARE</t>
  </si>
  <si>
    <t>Headquarters
26 North Euclid Avenue 
Pasadena, California    91101-6104
United States
Main Phone: 626 578 0777
Main Fax: 626 578 0896</t>
  </si>
  <si>
    <t>NasdaqGS:ALGN</t>
  </si>
  <si>
    <t>Headquarters
410 North Scottsdale Road
Suite 1300 
Tempe, Arizona    85288
United States
Main Phone: 602 742 2000</t>
  </si>
  <si>
    <t>NasdaqGS:LNT</t>
  </si>
  <si>
    <t>Headquarters
4902 North Biltmore Lane 
Madison, Wisconsin    53718
United States
Main Phone: 608 458 3311</t>
  </si>
  <si>
    <t>NasdaqGS:GOOGL</t>
  </si>
  <si>
    <t>NasdaqGS:GOOG
Company: Alphabet Inc.
(IQT260152426) - S&amp;P 500</t>
  </si>
  <si>
    <t>Headquarters
1600 Amphitheatre Parkway 
Mountain View, California    94043
United States
Main Phone: 650-253-0000</t>
  </si>
  <si>
    <t>NYSE:MO</t>
  </si>
  <si>
    <t>Headquarters
6601 West Broad Street 
Richmond, Virginia    23230
United States
Main Phone: 804 274 2200</t>
  </si>
  <si>
    <t>NasdaqGS:AMZN</t>
  </si>
  <si>
    <t>Headquarters
410 Terry Avenue North   
Seattle, Washington    98109-5210
United States
Main Phone: 206 266 1000</t>
  </si>
  <si>
    <t>NYSE:AEE</t>
  </si>
  <si>
    <t>Headquarters
1901 Chouteau Avenue 
Saint Louis, Missouri    63103
United States
Main Phone: 314 621 3222</t>
  </si>
  <si>
    <t>NasdaqGS:AEP</t>
  </si>
  <si>
    <t>Headquarters
1 Riverside Plaza 
Columbus, Ohio    43215-2373
United States
Main Phone: 614 716 1000</t>
  </si>
  <si>
    <t>NYSE:AXP</t>
  </si>
  <si>
    <t>Headquarters
200 Vesey Street 
New York, New York    10285
United States
Main Phone: (212) 640-2000</t>
  </si>
  <si>
    <t>NYSE:AIG</t>
  </si>
  <si>
    <t>Headquarters
1271 Avenue of the Americas 
New York, New York    10020
United States
Main Phone: 212 770 7000</t>
  </si>
  <si>
    <t>NYSE:AMT</t>
  </si>
  <si>
    <t>Headquarters
222 Berkeley Street 
Boston, Massachusetts    02116
United States
Main Phone: 617 375 7500
Main Fax: 617 375 7575</t>
  </si>
  <si>
    <t>NYSE:AWK</t>
  </si>
  <si>
    <t>Headquarters
1 Water Street 
Camden, New Jersey    08102-1658
United States
Main Phone: 856 955 4001</t>
  </si>
  <si>
    <t>NYSE:AMP</t>
  </si>
  <si>
    <t>Headquarters
1099 Ameriprise Financial Center 
Minneapolis, Minnesota    55474
United States
Main Phone: 612-671-3131</t>
  </si>
  <si>
    <t>NYSE:AME</t>
  </si>
  <si>
    <t>Headquarters
1100 Cassatt Road 
Berwyn, Pennsylvania    19312-1177
United States
Main Phone: 610 647 2121</t>
  </si>
  <si>
    <t>NasdaqGS:AMGN</t>
  </si>
  <si>
    <t>Headquarters
One Amgen Center Drive 
Thousand Oaks, California    91320-1799
United States
Main Phone: 805 447 1000
Main Fax: 805 447 1010</t>
  </si>
  <si>
    <t>NYSE:APH</t>
  </si>
  <si>
    <t>Headquarters
358 Hall Avenue
PO Box 5030 
Wallingford, Connecticut    06492
United States
Main Phone: 203 265 8900</t>
  </si>
  <si>
    <t>NasdaqGS:ADI</t>
  </si>
  <si>
    <t>Headquarters
One Analog Way 
Wilmington, Massachusetts    01887
United States
Main Phone: 781 935 5565</t>
  </si>
  <si>
    <t>NasdaqGS:APA</t>
  </si>
  <si>
    <t>Headquarters
2000 W. Sam Houston Pkwy. S.
Suite 200 
Houston, Texas    77042-3643
United States
Main Phone: 713 296 6000</t>
  </si>
  <si>
    <t>NYSE:APO</t>
  </si>
  <si>
    <t>Headquarters
9 West 57th Street
41st Floor 
New York, New York    10019
United States
Main Phone: 212 515 3200</t>
  </si>
  <si>
    <t>NasdaqGS:AAPL</t>
  </si>
  <si>
    <t>Headquarters
One Apple Park Way 
Cupertino, California    95014
United States
Main Phone: (408) 996-1010</t>
  </si>
  <si>
    <t>NasdaqGS:AMAT</t>
  </si>
  <si>
    <t>Headquarters
3050 Bowers Avenue
P.O. Box 58039 
Santa Clara, California    95052-8039
United States
Main Phone: 408 727 5555</t>
  </si>
  <si>
    <t>NasdaqGS:APP</t>
  </si>
  <si>
    <t>Headquarters
1100 Page Mill Road 
Palo Alto, California    94304
United States
Main Phone: 800 839 9646</t>
  </si>
  <si>
    <t>NYSE:ADM</t>
  </si>
  <si>
    <t>Headquarters
77 West Wacker Drive
Suite 4600 
Chicago, Illinois    60601
United States
Main Phone: 312 634 8100</t>
  </si>
  <si>
    <t>NYSE:ARES</t>
  </si>
  <si>
    <t>Headquarters
1800 Avenue of the Stars
Suite 1400 
Los Angeles, California    90067
United States
Main Phone: (312) 252 7500</t>
  </si>
  <si>
    <t>NYSE:ANET</t>
  </si>
  <si>
    <t>Headquarters
5453 Great America Parkway 
Santa Clara, California    95054
United States
Main Phone: 408 547 5500
Main Fax: 408 538 8920</t>
  </si>
  <si>
    <t>NYSE:AJG</t>
  </si>
  <si>
    <t>Headquarters
2850 Golf Road 
Rolling Meadows, Illinois    60008-4050
United States
Main Phone: (630) 773-3800</t>
  </si>
  <si>
    <t>NYSE:AIZ</t>
  </si>
  <si>
    <t>Headquarters
260 Interstate North Circle SE 
Atlanta, Georgia    30339-2210
United States
Main Phone: 770 763 1000</t>
  </si>
  <si>
    <t>NYSE:T</t>
  </si>
  <si>
    <t>Headquarters
208 South Akard Street 
Dallas, Texas    75202
United States
Main Phone: 210 821 4105</t>
  </si>
  <si>
    <t>NYSE:ATO</t>
  </si>
  <si>
    <t>Headquarters
1800 Three Lincoln Centre
5430 LBJ Freeway 
Dallas, Texas    75240
United States
Main Phone: 972 934 9227</t>
  </si>
  <si>
    <t>NasdaqGS:ADSK</t>
  </si>
  <si>
    <t>Headquarters
One Market Street
Suite 400 
San Francisco, California    94105
United States
Main Phone: 415 507 5000</t>
  </si>
  <si>
    <t>NasdaqGS:ADP</t>
  </si>
  <si>
    <t>Headquarters
One ADP Boulevard 
Roseland, New Jersey    07068
United States
Main Phone: 973 974 5000</t>
  </si>
  <si>
    <t>NYSE:AZO</t>
  </si>
  <si>
    <t>Headquarters
123 South Front Street 
Memphis, Tennessee    38103
United States
Main Phone: 901 495 6500</t>
  </si>
  <si>
    <t>NYSE:AVB</t>
  </si>
  <si>
    <t>Headquarters
4040 Wilson Boulevard, Suite 1000 
Arlington, Virginia    22203-2120
United States
Main Phone: 703 329 6300
Main Fax: 703 329 9130
Other Phone: 703 317 4524</t>
  </si>
  <si>
    <t>NYSE:AVY</t>
  </si>
  <si>
    <t>Headquarters
8080 Norton Parkway 
Mentor, Ohio    44060
United States
Main Phone: 440 534 6000</t>
  </si>
  <si>
    <t>NasdaqGS:AXON</t>
  </si>
  <si>
    <t>Headquarters
17800 North 85th Street 
Scottsdale, Arizona    85255
United States
Main Phone: 480 991 0797</t>
  </si>
  <si>
    <t>NasdaqGS:BKR</t>
  </si>
  <si>
    <t>Headquarters
575 North Dairy Ashford Road
Suite 100 
Houston, Texas    77079-1121
United States
Main Phone: 713 439 8600</t>
  </si>
  <si>
    <t>NYSE:BALL</t>
  </si>
  <si>
    <t>Headquarters
9200 West 108th Circle 
Westminster, Colorado    80021
United States
Main Phone: 303 469 3131</t>
  </si>
  <si>
    <t>NYSE:BAC</t>
  </si>
  <si>
    <t>Headquarters
Bank of America Corporate Center
100 North Tryon Street 
Charlotte, North Carolina    28255
United States
Main Phone: (704) 386-5681</t>
  </si>
  <si>
    <t>NYSE:BAX</t>
  </si>
  <si>
    <t>Headquarters
One Baxter Parkway 
Deerfield, Illinois    60015
United States
Main Phone: 224 948 2000</t>
  </si>
  <si>
    <t>NYSE:BDX</t>
  </si>
  <si>
    <t>Headquarters
1 Becton Drive 
Franklin Lakes, New Jersey    07417-1880
United States
Main Phone: 201 847 6800</t>
  </si>
  <si>
    <t>NYSE:BRK.A</t>
  </si>
  <si>
    <t>NYSE:BRK.B
Company: Berkshire Hathaway Inc.
(IQT2594158) - S&amp;P 500</t>
  </si>
  <si>
    <t>Headquarters
3555 Farnam Street 
Omaha, Nebraska    68131
United States
Main Phone: 402 346 1400</t>
  </si>
  <si>
    <t>NYSE:BBY</t>
  </si>
  <si>
    <t>Headquarters
7601 Penn Avenue South 
Richfield, Minnesota    55423
United States
Main Phone: 612 291 1000</t>
  </si>
  <si>
    <t>NasdaqGS:TECH</t>
  </si>
  <si>
    <t>Headquarters
614 McKinley Place N.E. 
Minneapolis, Minnesota    55413
United States
Main Phone: 612 379 8854
Main Fax: 612 656 4400</t>
  </si>
  <si>
    <t>NasdaqGS:BIIB</t>
  </si>
  <si>
    <t>Headquarters
225 Binney Street 
Cambridge, Massachusetts    02142
United States
Main Phone: 617 679 2000</t>
  </si>
  <si>
    <t>NYSE:BLK</t>
  </si>
  <si>
    <t>Headquarters
50 Hudson Yards 
New York, New York    10001
United States
Main Phone: 212 810 5300
Other Phone: 212 810 5800</t>
  </si>
  <si>
    <t>NYSE:BX</t>
  </si>
  <si>
    <t>Headquarters
345 Park Avenue 
New York, New York    10154
United States
Main Phone: (212) 583-5000
Main Fax: (212) 583-5749
Other Phone: (212) 503-2100</t>
  </si>
  <si>
    <t>NYSE:XYZ</t>
  </si>
  <si>
    <t>Headquarters
1955 Broadway
Suite 600 
Oakland, California    94612
United States
Main Phone: 415-375-3176</t>
  </si>
  <si>
    <t>NasdaqGS:BKNG</t>
  </si>
  <si>
    <t>Headquarters
800 Connecticut Avenue 
Norwalk, Connecticut    06854
United States
Main Phone: 203 299 8000</t>
  </si>
  <si>
    <t>NYSE:BSX</t>
  </si>
  <si>
    <t>Headquarters
300 Boston Scientific Way 
Marlborough, Massachusetts    01752-1234
United States
Main Phone: 508 683 4000</t>
  </si>
  <si>
    <t>NYSE:BMY</t>
  </si>
  <si>
    <t>Headquarters
Route 206 &amp; Province Line Road 
Princeton, New Jersey    08543
United States
Main Phone: 609 252 4621</t>
  </si>
  <si>
    <t>NasdaqGS:AVGO</t>
  </si>
  <si>
    <t>Headquarters
3421 Hillview Ave 
Palo Alto, California    94304
United States
Main Phone: 650 427 6000</t>
  </si>
  <si>
    <t>NYSE:BR</t>
  </si>
  <si>
    <t>Headquarters
5 Dakota Drive
Suite 300 
Lake Success, New York    11042
United States
Main Phone: 516 472 5400</t>
  </si>
  <si>
    <t>NYSE:BRO</t>
  </si>
  <si>
    <t>Headquarters
300 North Beach Street 
Daytona Beach, Florida    32114
United States
Main Phone: 386 252 9601</t>
  </si>
  <si>
    <t>NYSE:BF.B</t>
  </si>
  <si>
    <t>Headquarters
850 Dixie Highway 
Louisville, Kentucky    40210
United States
Main Phone: 502 585 1100</t>
  </si>
  <si>
    <t>NYSE:BLDR</t>
  </si>
  <si>
    <t>Headquarters
6031 Connection Drive
Suite 400 
Irving, Texas    75039
United States
Main Phone: 214 880 3500</t>
  </si>
  <si>
    <t>NYSE:BG</t>
  </si>
  <si>
    <t>Headquarters
1391 Timberlake Manor Parkway 
Chesterfield, Missouri    63017
United States
Main Phone: (314) 292-2000</t>
  </si>
  <si>
    <t>NYSE:BXP</t>
  </si>
  <si>
    <t>Headquarters
Prudential Center, 800 Boylston Street
Suite 1900 
Boston, Massachusetts    02199-8103
United States
Main Phone: 617 236 3300
Main Fax: 617 236 3311
Other Phone: 617 236 3429</t>
  </si>
  <si>
    <t>NasdaqGS:CHRW</t>
  </si>
  <si>
    <t>Headquarters
14701 Charlson Road 
Eden Prairie, Minnesota    55347
United States
Main Phone: 952 937 8500</t>
  </si>
  <si>
    <t>NasdaqGS:CDNS</t>
  </si>
  <si>
    <t>Headquarters
Building 5
2655 Seely Avenue 
San Jose, California    95134
United States
Main Phone: 408 943 1234
Main Fax: 408 428 5001</t>
  </si>
  <si>
    <t>NYSE:CPT</t>
  </si>
  <si>
    <t>Headquarters
2800 Post Oak Boulevard
Suite 2700 
Houston, Texas    77056
United States
Main Phone: 713 354 2500
Main Fax: 713 354 2700
Other Phone: 713 354 2787</t>
  </si>
  <si>
    <t>NYSE:COF</t>
  </si>
  <si>
    <t>Headquarters
1680 Capital One Drive 
McLean, Virginia    22102
United States
Main Phone: 703 720 1000</t>
  </si>
  <si>
    <t>NYSE:CAH</t>
  </si>
  <si>
    <t>Headquarters
7000 Cardinal Place 
Dublin, Ohio    43017
United States
Main Phone: 614 757 5000</t>
  </si>
  <si>
    <t>NYSE:CCL</t>
  </si>
  <si>
    <t>Headquarters
3655 N.W. 87th Avenue 
Miami, Florida    33178-2428
United States
Main Phone: 305 599 2600</t>
  </si>
  <si>
    <t>NYSE:CARR</t>
  </si>
  <si>
    <t>Headquarters
13995 Pasteur Boulevard 
Palm Beach Gardens, Florida    33418
United States
Main Phone: 561 365 2000</t>
  </si>
  <si>
    <t>NYSE:CVNA</t>
  </si>
  <si>
    <t>Headquarters
300 East Rio Salado Parkway 
Tempe, Arizona    85281
United States
Main Phone: 602 922 9866</t>
  </si>
  <si>
    <t>NYSE:CAT</t>
  </si>
  <si>
    <t>Headquarters
5205 N. O'Connor Boulevard
Suite 100 
Irving, Texas    75039
United States
Main Phone: 972 891 7700
Main Fax: 309 494 4818</t>
  </si>
  <si>
    <t>BATS:CBOE</t>
  </si>
  <si>
    <t>Headquarters
433 West Van Buren Street 
Chicago, Illinois    60607
United States
Main Phone: 312 786 5600
Main Fax: 312 786 7367</t>
  </si>
  <si>
    <t>NYSE:CBRE</t>
  </si>
  <si>
    <t>Headquarters
2121 North Pearl Street
Suite 300 
Dallas, Texas    75201
United States
Main Phone: 214 979 6100</t>
  </si>
  <si>
    <t>NasdaqGS:CDW</t>
  </si>
  <si>
    <t>Headquarters
200 N. Milwaukee Avenue 
Vernon Hills, Illinois    60061
United States
Main Phone: 847 465 6000</t>
  </si>
  <si>
    <t>NYSE:COR</t>
  </si>
  <si>
    <t>Headquarters
1 West First Avenue 
Conshohocken, Pennsylvania    19428-1800
United States
Main Phone: 610 727 7000</t>
  </si>
  <si>
    <t>NYSE:CNC</t>
  </si>
  <si>
    <t>Headquarters
Centene Plaza
7700 Forsyth Boulevard 
Saint Louis, Missouri    63105
United States
Main Phone: 314 725 4477</t>
  </si>
  <si>
    <t>NYSE:CNP</t>
  </si>
  <si>
    <t>Headquarters
1111 Louisiana Street 
Houston, Texas    77002
United States
Main Phone: 713 207 1111</t>
  </si>
  <si>
    <t>NYSE:CF</t>
  </si>
  <si>
    <t>Headquarters
2375 Waterview Drive 
Northbrook, Illinois    60062
United States
Main Phone: 847 405 2400</t>
  </si>
  <si>
    <t>NYSE:CRL</t>
  </si>
  <si>
    <t>Headquarters
251 Ballardvale Street 
Wilmington, Massachusetts    01887
United States
Main Phone: 781 222 6000</t>
  </si>
  <si>
    <t>NasdaqGS:CHTR</t>
  </si>
  <si>
    <t>Headquarters
400 Washington Blvd. 
Stamford, Connecticut    06902
United States
Main Phone: 203 905 7801</t>
  </si>
  <si>
    <t>NYSE:CVX</t>
  </si>
  <si>
    <t>Headquarters
1400 Smith Street 
Houston, Texas    77002-7327
United States
Main Phone: 832 854 1000</t>
  </si>
  <si>
    <t>NYSE:CMG</t>
  </si>
  <si>
    <t>Headquarters
610 Newport Center Drive
Suite 1100 
Newport Beach, California    92660
United States
Main Phone: 949 524 4000</t>
  </si>
  <si>
    <t>NYSE:CHD</t>
  </si>
  <si>
    <t>Headquarters
Princeton South Corporate Center
500 Charles Ewing Boulevard 
Ewing, New Jersey    08628
United States
Main Phone: 609 806 1200</t>
  </si>
  <si>
    <t>NYSE:CIEN</t>
  </si>
  <si>
    <t>Headquarters
7035 Ridge Road 
Hanover, Maryland    21076
United States
Main Phone: 410 694 5700</t>
  </si>
  <si>
    <t>NasdaqGS:CINF</t>
  </si>
  <si>
    <t>Headquarters
6200 South Gilmore Road 
Fairfield, Ohio    45014-5141
United States
Main Phone: 513 870 2000</t>
  </si>
  <si>
    <t>NasdaqGS:CTAS</t>
  </si>
  <si>
    <t>Headquarters
6800 Cintas Boulevard
P.O. Box 625737 
Cincinnati, Ohio    45262-5737
United States
Main Phone: 513 459 1200</t>
  </si>
  <si>
    <t>NasdaqGS:CSCO</t>
  </si>
  <si>
    <t>Headquarters
170 West Tasman Drive 
San Jose, California    95134-1706
United States
Main Phone: (408) 526-4000</t>
  </si>
  <si>
    <t>NYSE:C</t>
  </si>
  <si>
    <t>Headquarters
388 Greenwich Street 
New York, New York    10013
United States
Main Phone: 212 559 1000</t>
  </si>
  <si>
    <t>NYSE:CFG</t>
  </si>
  <si>
    <t>Headquarters
One Citizens Plaza 
Providence, Rhode Island    02903
United States
Main Phone: 203 900 6715</t>
  </si>
  <si>
    <t>NasdaqGS:CME</t>
  </si>
  <si>
    <t>Headquarters
20 South Wacker Drive 
Chicago, Illinois    60606
United States
Main Phone: 312 930 1000</t>
  </si>
  <si>
    <t>NYSE:CMS</t>
  </si>
  <si>
    <t>Headquarters
One Energy Plaza 
Jackson, Michigan    49201
United States
Main Phone: 517 788 0550</t>
  </si>
  <si>
    <t>NasdaqGS:CTSH</t>
  </si>
  <si>
    <t>Headquarters
300 Frank West Burr Boulevard
Suite 36, 6th Floor 
Teaneck, New Jersey    07666
United States
Main Phone: 201 801 0233</t>
  </si>
  <si>
    <t>Coherent Corp. (NYSE:COHR)</t>
  </si>
  <si>
    <t>NYSE:COHR</t>
  </si>
  <si>
    <t>Headquarters
375 Saxonburg Boulevard 
Saxonburg, Pennsylvania    16056
United States
Main Phone: 724 352 4455</t>
  </si>
  <si>
    <t>NasdaqGS:COIN</t>
  </si>
  <si>
    <t>Headquarters
One Madison Avenue
Suite 2400 
New York, New York    10010
United States
Main Phone: 888 908 7930</t>
  </si>
  <si>
    <t>NYSE:CL</t>
  </si>
  <si>
    <t>Headquarters
300 Park Avenue 
New York, New York    10022-7499
United States
Main Phone: 212 310 2000</t>
  </si>
  <si>
    <t>NasdaqGS:CMCSA</t>
  </si>
  <si>
    <t>Headquarters
One Comcast Center 
Philadelphia, Pennsylvania    19103-2838
United States
Main Phone: (215) 286-1700</t>
  </si>
  <si>
    <t>NYSE:FIX</t>
  </si>
  <si>
    <t>Headquarters
9753 Katy Freeway
Suite 700 
Houston, Texas    77024
United States
Main Phone: 713 830 9600</t>
  </si>
  <si>
    <t>NYSE:CAG</t>
  </si>
  <si>
    <t>Headquarters
222 West Merchandise Mart Plaza
Suite 1300 
Chicago, Illinois    60654
United States
Main Phone: 312 549 5000</t>
  </si>
  <si>
    <t>NYSE:COP</t>
  </si>
  <si>
    <t>Headquarters
925 North Eldridge Parkway 
Houston, Texas    77079-2703
United States
Main Phone: 281 293 1000</t>
  </si>
  <si>
    <t>NYSE:ED</t>
  </si>
  <si>
    <t>Headquarters
4 Irving Place 
New York, New York    10003
United States
Main Phone: 212 460 4600</t>
  </si>
  <si>
    <t>NYSE:STZ</t>
  </si>
  <si>
    <t>Headquarters
50 East Broad Street 
Rochester, New York    14614
United States
Main Phone: 585 678 7100</t>
  </si>
  <si>
    <t>NasdaqGS:CEG</t>
  </si>
  <si>
    <t>Headquarters
1310 Point Street 
Baltimore, Maryland    21231-3380
United States
Main Phone: 833 883 0162</t>
  </si>
  <si>
    <t>NasdaqGS:CPRT</t>
  </si>
  <si>
    <t>Headquarters
14185 Dallas Parkway
Suite 300 
Dallas, Texas    75254
United States
Main Phone: 972 391 5000
Main Fax: 469 791 9009</t>
  </si>
  <si>
    <t>NYSE:GLW</t>
  </si>
  <si>
    <t>Headquarters
One Riverfront Plaza 
Corning, New York    14831
United States
Main Phone: 607-974-9000</t>
  </si>
  <si>
    <t>NYSE:CPAY</t>
  </si>
  <si>
    <t>Headquarters
3280 Peachtree Road
Suite 2400 
Atlanta, Georgia    30305
United States
Main Phone: 770 449 0479</t>
  </si>
  <si>
    <t>NYSE:CTVA</t>
  </si>
  <si>
    <t>Headquarters
9330 Zionsville Road 
Indianapolis, Indiana    46268
United States
Main Phone: 833 267 8382</t>
  </si>
  <si>
    <t>NasdaqGS:CSGP</t>
  </si>
  <si>
    <t>Headquarters
1201 Wilson Blvd 
Arlington, Virginia    22209
United States
Main Phone: 202 346 6500</t>
  </si>
  <si>
    <t>NasdaqGS:COST</t>
  </si>
  <si>
    <t>Headquarters
999 Lake Drive 
Issaquah, Washington    98027
United States
Main Phone: 425 313 8100</t>
  </si>
  <si>
    <t>NYSE:CTRA</t>
  </si>
  <si>
    <t>Headquarters
Three Memorial City Plaza
Suite 1400
840 Gessner Road 
Houston, Texas    77024
United States
Main Phone: 281 589 4600</t>
  </si>
  <si>
    <t>NasdaqGS:CRWD</t>
  </si>
  <si>
    <t>Headquarters
206 East 9th Street
Suite 1400 
Austin, Texas    78701
United States
Main Phone: 888 512 8906</t>
  </si>
  <si>
    <t>NYSE:CCI</t>
  </si>
  <si>
    <t>Headquarters
8020 Katy Freeway 
Houston, Texas    77024-1908
United States
Main Phone: 713 570 3000
Main Fax: 713 570 3100</t>
  </si>
  <si>
    <t>NasdaqGS:CSX</t>
  </si>
  <si>
    <t>Headquarters
500 Water Street
15th Floor 
Jacksonville, Florida    32202
United States
Main Phone: 904 359 3200</t>
  </si>
  <si>
    <t>NYSE:CMI</t>
  </si>
  <si>
    <t>Headquarters
500 Jackson Street
Box 3005 
Columbus, Indiana    47202-3005
United States
Main Phone: 812 377 5000</t>
  </si>
  <si>
    <t>NYSE:CVS</t>
  </si>
  <si>
    <t>Headquarters
One CVS Drive 
Woonsocket, Rhode Island    02895
United States
Main Phone: 401 765 1500
Main Fax: 401 652 0893</t>
  </si>
  <si>
    <t>NYSE:DHI</t>
  </si>
  <si>
    <t>Headquarters
1341 Horton Circle 
Arlington, Texas    76011
United States
Main Phone: 817 390 8200</t>
  </si>
  <si>
    <t>NYSE:DHR</t>
  </si>
  <si>
    <t>Headquarters
2200 Pennsylvania Avenue N.W.
Suite 800W 
Washington, District Of Columbia    20037-1701
United States
Main Phone: 202 828 0850
Main Fax: 202 828 0860</t>
  </si>
  <si>
    <t>NYSE:DRI</t>
  </si>
  <si>
    <t>Headquarters
1000 Darden Center Drive 
Orlando, Florida    32837
United States
Main Phone: 407 245 4000</t>
  </si>
  <si>
    <t>NasdaqGS:DDOG</t>
  </si>
  <si>
    <t>Headquarters
620 8th Avenue
45th Floor 
New York, New York    10018
United States
Main Phone: 866 329 4466</t>
  </si>
  <si>
    <t>NYSE:DVA</t>
  </si>
  <si>
    <t>Headquarters
2000 16th Street 
Denver, Colorado    80202
United States
Main Phone: 720 631 2100</t>
  </si>
  <si>
    <t>NYSE:DECK</t>
  </si>
  <si>
    <t>Headquarters
250 Coromar Drive 
Goleta, California    93117
United States
Main Phone: 805 967 7611</t>
  </si>
  <si>
    <t>NYSE:DE</t>
  </si>
  <si>
    <t>Headquarters
One John Deere Place 
Moline, Illinois    61265
United States
Main Phone: 309 765 8000</t>
  </si>
  <si>
    <t>NYSE:DELL</t>
  </si>
  <si>
    <t>Headquarters
One Dell Way 
Round Rock, Texas    78682
United States
Main Phone: 800 289 3355</t>
  </si>
  <si>
    <t>NYSE:DAL</t>
  </si>
  <si>
    <t>Headquarters
1030 Delta Boulevard 
Atlanta, Georgia    30354-1989
United States</t>
  </si>
  <si>
    <t>NYSE:DVN</t>
  </si>
  <si>
    <t>Headquarters
333 West Sheridan Avenue 
Oklahoma City, Oklahoma    73102-5015
United States
Main Phone: 405 235 3611</t>
  </si>
  <si>
    <t>NasdaqGS:DXCM</t>
  </si>
  <si>
    <t>Headquarters
6340 Sequence Drive 
San Diego, California    92121
United States
Main Phone: 858 200 0200</t>
  </si>
  <si>
    <t>NasdaqGS:FANG</t>
  </si>
  <si>
    <t>Headquarters
Fasken Center
Suite 100
500 West Texas Ave. 
Midland, Texas    79701
United States
Main Phone: 432 221 7400</t>
  </si>
  <si>
    <t>NYSE:DLR</t>
  </si>
  <si>
    <t>Headquarters
2323 Bryan Street
Suite 1800 
Dallas, Texas    75201
United States
Main Phone: 214 231 1350
Main Fax: 415 738 6501
Other Phone: 415 275 5344</t>
  </si>
  <si>
    <t>NYSE:DG</t>
  </si>
  <si>
    <t>Headquarters
100 Mission Ridge 
Goodlettsville, Tennessee    37072
United States
Main Phone: 615 855 4000</t>
  </si>
  <si>
    <t>NasdaqGS:DLTR</t>
  </si>
  <si>
    <t>Headquarters
500 Volvo Parkway 
Chesapeake, Virginia    23320
United States
Main Phone: 757 321 5000</t>
  </si>
  <si>
    <t>NYSE:D</t>
  </si>
  <si>
    <t>Headquarters
600 East Canal Street 
Richmond, Virginia    23219
United States
Main Phone: 804 819 2284</t>
  </si>
  <si>
    <t>NasdaqGS:DPZ</t>
  </si>
  <si>
    <t>Headquarters
30 Frank Lloyd Wright Drive 
Ann Arbor, Michigan    48105
United States
Main Phone: 734 930 3030</t>
  </si>
  <si>
    <t>NasdaqGS:DASH</t>
  </si>
  <si>
    <t>Headquarters
South Tower
8th Floor
303 2nd Street 
San Francisco, California    94107
United States
Main Phone: 650 487 3970</t>
  </si>
  <si>
    <t>NYSE:DOV</t>
  </si>
  <si>
    <t>Headquarters
3005 Highland Parkway 
Downers Grove, Illinois    60515
United States
Main Phone: 630 541 1540
Main Fax: 630 743 2671</t>
  </si>
  <si>
    <t>NYSE:DOW</t>
  </si>
  <si>
    <t>Headquarters
2211 H.H. Dow Way 
Midland, Michigan    48674
United States
Main Phone: 989 636 1000
Main Fax: 989 832 1456</t>
  </si>
  <si>
    <t>NYSE:DTE</t>
  </si>
  <si>
    <t>Headquarters
One Energy Plaza 
Detroit, Michigan    48226-1221
United States
Main Phone: 313 235 4000</t>
  </si>
  <si>
    <t>NYSE:DUK</t>
  </si>
  <si>
    <t>Headquarters
525 South Tryon Street 
Charlotte, North Carolina    28202
United States
Main Phone: 800 488 3853</t>
  </si>
  <si>
    <t>NYSE:DD</t>
  </si>
  <si>
    <t>Headquarters
Building 730
974 Centre Road 
Wilmington, Delaware    19805
United States
Main Phone: 302 295 5783</t>
  </si>
  <si>
    <t>NasdaqGS:EBAY</t>
  </si>
  <si>
    <t>Headquarters
2025 Hamilton Avenue 
San Jose, California    95125
United States
Main Phone: 408 376 9659</t>
  </si>
  <si>
    <t>EchoStar Corporation (NasdaqGS:SATS)</t>
  </si>
  <si>
    <t>NasdaqGS:SATS</t>
  </si>
  <si>
    <t>Headquarters
9601 South Meridian Boulevard 
Englewood, Colorado    80112
United States
Main Phone: 303 723 1000</t>
  </si>
  <si>
    <t>NYSE:ECL</t>
  </si>
  <si>
    <t>Headquarters
1 Ecolab Place 
Saint Paul, Minnesota    55102-2233
United States
Main Phone: 800 232 6522
Main Fax: 651 225 3098</t>
  </si>
  <si>
    <t>NYSE:EIX</t>
  </si>
  <si>
    <t>Headquarters
2244 Walnut Grove Avenue
PO Box 976 
Rosemead, California    91770
United States
Main Phone: 626 302 2222
Main Fax: 626 302 2117</t>
  </si>
  <si>
    <t>NYSE:EW</t>
  </si>
  <si>
    <t>Headquarters
One Edwards Way 
Irvine, California    92614
United States
Main Phone: 949 250 2500</t>
  </si>
  <si>
    <t>NasdaqGS:EA</t>
  </si>
  <si>
    <t>Headquarters
209 Redwood Shores Parkway 
Redwood City, California    94065
United States
Main Phone: 650 628 1500</t>
  </si>
  <si>
    <t>NYSE:ELV</t>
  </si>
  <si>
    <t>Headquarters
220 Virginia Avenue 
Indianapolis, Indiana    46204
United States
Main Phone: 833 401 1577</t>
  </si>
  <si>
    <t>NYSE:LLY</t>
  </si>
  <si>
    <t>Headquarters
Lilly Corporate Center 
Indianapolis, Indiana    46285
United States
Main Phone: 317 276 2000</t>
  </si>
  <si>
    <t>NYSE:EME</t>
  </si>
  <si>
    <t>Headquarters
301 Merritt Seven 
Norwalk, Connecticut    06851-1092
United States
Main Phone: 203 849 7800</t>
  </si>
  <si>
    <t>NYSE:EMR</t>
  </si>
  <si>
    <t>Headquarters
8027 Forsyth Boulevard 
Saint Louis, Missouri    63105
United States
Main Phone: (314) 553-2000</t>
  </si>
  <si>
    <t>NYSE:ETR</t>
  </si>
  <si>
    <t>Headquarters
639 Loyola Avenue 
New Orleans, Louisiana    70113
United States
Main Phone: 504 576 4000</t>
  </si>
  <si>
    <t>NYSE:EOG</t>
  </si>
  <si>
    <t>Headquarters
1111 Bagby Street
Sky Lobby 2 
Houston, Texas    77002
United States
Main Phone: 713 651 7000
Main Fax: 713 651 6995</t>
  </si>
  <si>
    <t>NYSE:EPAM</t>
  </si>
  <si>
    <t>Headquarters
41 University Drive
Suite 202 
Newtown, Pennsylvania    18940
United States
Main Phone: 267 759 9000
Main Fax: 267 759 8989</t>
  </si>
  <si>
    <t>NYSE:EQT</t>
  </si>
  <si>
    <t>Headquarters
625 Liberty Avenue
Suite 1700 
Pittsburgh, Pennsylvania    15222
United States
Main Phone: 412 553 5700</t>
  </si>
  <si>
    <t>NYSE:EFX</t>
  </si>
  <si>
    <t>Headquarters
1550 Peachtree Street, NW 
Atlanta, Georgia    30309
United States
Main Phone: 404 885 8000</t>
  </si>
  <si>
    <t>NasdaqGS:EQIX</t>
  </si>
  <si>
    <t>Headquarters
One Lagoon Drive
4th Floor 
Redwood City, California    94065-1562
United States
Main Phone: 650 598 6000
Main Fax: 650 598 6900</t>
  </si>
  <si>
    <t>NYSE:EQR</t>
  </si>
  <si>
    <t>Headquarters
Two North Riverside Plaza
Suite 400 
Chicago, Illinois    60606-2609
United States
Main Phone: 312 474 1300
Main Fax: 312 454 8703</t>
  </si>
  <si>
    <t>NasdaqGS:ERIE</t>
  </si>
  <si>
    <t>Headquarters
100 Erie Insurance Place 
Erie, Pennsylvania    16530
United States
Main Phone: 814 870 2000
Main Fax: 814 870 2717</t>
  </si>
  <si>
    <t>NYSE:ESS</t>
  </si>
  <si>
    <t>Headquarters
1100 Park Place
Suite 200 
San Mateo, California    94403
United States
Main Phone: 650 655 7800
Main Fax: 650 655 7810</t>
  </si>
  <si>
    <t>NasdaqGS:EVRG</t>
  </si>
  <si>
    <t>Headquarters
1200 Main Street 
Kansas City, Missouri    64105
United States
Main Phone: 816 556 2200</t>
  </si>
  <si>
    <t>NYSE:ES</t>
  </si>
  <si>
    <t>Headquarters
300 Cadwell Drive 
Springfield, Massachusetts    01104
United States
Main Phone: 800 286 5000</t>
  </si>
  <si>
    <t>NasdaqGS:EXC</t>
  </si>
  <si>
    <t>Headquarters
10 South Dearborn Street
54th Floor
PO Box 805398 
Chicago, Illinois    60680-5379
United States
Main Phone: 800 483 3220</t>
  </si>
  <si>
    <t>NasdaqGS:EXE</t>
  </si>
  <si>
    <t>Headquarters
6100 North Western Avenue 
Oklahoma City, Oklahoma    73118
United States
Main Phone: 405 848 8000</t>
  </si>
  <si>
    <t>NasdaqGS:EXPE</t>
  </si>
  <si>
    <t>Headquarters
1111 Expedia Group Way West 
Seattle, Washington    98119
United States
Main Phone: 206 481 7200</t>
  </si>
  <si>
    <t>NYSE:EXPD</t>
  </si>
  <si>
    <t>Headquarters
Sterling Plaza 2
3rd Floor
3545 Factoria Blvd. SE 
Bellevue, Washington    98006
United States
Main Phone: 206 674 3400</t>
  </si>
  <si>
    <t>NYSE:EXR</t>
  </si>
  <si>
    <t>Headquarters
2795 East Cottonwood Parkway
Suite 300 
Salt Lake City, Utah    84121-7033
United States
Main Phone: 801 365 4600
Main Fax: 801 365 4855</t>
  </si>
  <si>
    <t>NYSE:XOM</t>
  </si>
  <si>
    <t>Headquarters
 22777 Springwoods Village Parkway 
Spring, Texas    77389-1425
United States
Main Phone: 972-940-6000</t>
  </si>
  <si>
    <t>NasdaqGS:FFIV</t>
  </si>
  <si>
    <t>Headquarters
801 5th Avenue 
Seattle, Washington    98104
United States
Main Phone: 206 272 5555
Main Fax: 206 272 5556</t>
  </si>
  <si>
    <t>NYSE:FDS</t>
  </si>
  <si>
    <t>Headquarters
45 Glover Avenue
7th Floor 
Norwalk, Connecticut    06850
United States
Main Phone: 203 810 1000</t>
  </si>
  <si>
    <t>NYSE:FICO</t>
  </si>
  <si>
    <t>Headquarters
5 West Mendenhall
Suite 105 
Bozeman, Montana    59715
United States
Main Phone: (406) 982-7276</t>
  </si>
  <si>
    <t>NasdaqGS:FAST</t>
  </si>
  <si>
    <t>Headquarters
2001 Theurer Boulevard 
Winona, Minnesota    55987-1500
United States
Main Phone: 507 454 5374</t>
  </si>
  <si>
    <t>NYSE:FRT</t>
  </si>
  <si>
    <t>Headquarters
909 Rose Avenue
Suite 200 
North Bethesda, Maryland    20852-4041
United States
Main Phone: 301 998 8100
Main Fax: 301 998 3700
Other Phone: 301 998 8265</t>
  </si>
  <si>
    <t>NYSE:FDX</t>
  </si>
  <si>
    <t>Headquarters
942 South Shady Grove Road 
Memphis, Tennessee    38120
United States
Main Phone: 901 818 7500</t>
  </si>
  <si>
    <t>NYSE:FIS</t>
  </si>
  <si>
    <t>Headquarters
347 Riverside Avenue 
Jacksonville, Florida    32202
United States
Main Phone: 904 438 6000</t>
  </si>
  <si>
    <t>NasdaqGS:FITB</t>
  </si>
  <si>
    <t>Headquarters
38 Fountain Square Plaza 
Cincinnati, Ohio    45263
United States
Main Phone: 800 972 3030</t>
  </si>
  <si>
    <t>NasdaqGS:FSLR</t>
  </si>
  <si>
    <t>Headquarters
4300 E Camelback Road
Suite 220 
Phoenix, Arizona    85018
United States
Main Phone: 602 414 9300</t>
  </si>
  <si>
    <t>NYSE:FE</t>
  </si>
  <si>
    <t>Headquarters
341 White Pond Drive 
Akron, Ohio    44320
United States
Main Phone: 800-736-3402</t>
  </si>
  <si>
    <t>NasdaqGS:FISV</t>
  </si>
  <si>
    <t>Headquarters
600 N. Vel R. Phillips Avenue 
Milwaukee, Wisconsin    53203
United States
Main Phone: 262 879 5000</t>
  </si>
  <si>
    <t>NYSE:F</t>
  </si>
  <si>
    <t>Headquarters
One American Road
P.O. Box 1899 
Dearborn, Michigan    48126-1899
United States
Main Phone: 313 322 3000</t>
  </si>
  <si>
    <t>NasdaqGS:FTNT</t>
  </si>
  <si>
    <t>Headquarters
909 Kifer Road 
Sunnyvale, California    94086
United States
Main Phone: 408 235 7700
Main Fax: 408 235 7737</t>
  </si>
  <si>
    <t>NYSE:FTV</t>
  </si>
  <si>
    <t>Headquarters
6920 Seaway Boulevard 
Everett, Washington    98203
United States
Main Phone: 425 446 5000</t>
  </si>
  <si>
    <t>NasdaqGS:FOXA</t>
  </si>
  <si>
    <t>NasdaqGS:FOX
Company: Fox Corporation
(IQT604619420) - S&amp;P 500</t>
  </si>
  <si>
    <t>Headquarters
1211 Avenue of the Americas 
New York, New York    10036
United States
Main Phone: 212 852 7000</t>
  </si>
  <si>
    <t>NYSE:BEN</t>
  </si>
  <si>
    <t>Headquarters
One Franklin Parkway 
San Mateo, California    94403
United States
Main Phone: 650-312-2000</t>
  </si>
  <si>
    <t>NYSE:FCX</t>
  </si>
  <si>
    <t>Headquarters
4340 E. Cotton Center Blvd.
Suite 110 
Phoenix, Arizona    85040-8852
United States
Main Phone: 602 366 8100</t>
  </si>
  <si>
    <t>NYSE:IT</t>
  </si>
  <si>
    <t>Headquarters
56 Top Gallant Road
PO Box 10212 
Stamford, Connecticut    06902-7700
United States
Main Phone: 203 964 0096</t>
  </si>
  <si>
    <t>NasdaqGS:GEHC</t>
  </si>
  <si>
    <t>Headquarters
500 West Monroe Street 
Chicago, Illinois    60661
United States
Main Phone: 833 735 1139</t>
  </si>
  <si>
    <t>NYSE:GEV</t>
  </si>
  <si>
    <t>Headquarters
58 Charles Street 
Cambridge, Massachusetts    02141
United States
Main Phone: 617 674 7555</t>
  </si>
  <si>
    <t>NasdaqGS:GEN</t>
  </si>
  <si>
    <t>Headquarters
60 East Rio Salado Parkway
Suite 1000 
Tempe, Arizona    85281
United States
Main Phone: 650 527 8000</t>
  </si>
  <si>
    <t>NYSE:GNRC</t>
  </si>
  <si>
    <t>Headquarters
S45 W29290 Highway 59 
Waukesha, Wisconsin    53189
United States
Main Phone: 262 544 4811</t>
  </si>
  <si>
    <t>NYSE:GD</t>
  </si>
  <si>
    <t>Headquarters
11011 Sunset Hills Road 
Reston, Virginia    20190
United States
Main Phone: 703 876 3000</t>
  </si>
  <si>
    <t>NYSE:GE</t>
  </si>
  <si>
    <t>Headquarters
1 Neumann Way 
Evendale, Ohio    45215
United States
Main Phone: (513) 243-2000</t>
  </si>
  <si>
    <t>NYSE:GIS</t>
  </si>
  <si>
    <t>Headquarters
Number One General Mills Boulevard 
Minneapolis, Minnesota    55426
United States
Main Phone: 763 764 7600</t>
  </si>
  <si>
    <t>NYSE:GM</t>
  </si>
  <si>
    <t>Headquarters
1240 Woodward Avenue 
Detroit, Michigan    48265
United States
Main Phone: 313 667 1500</t>
  </si>
  <si>
    <t>NYSE:GPC</t>
  </si>
  <si>
    <t>Headquarters
2999 Wildwood Parkway 
Atlanta, Georgia    30339
United States
Main Phone: 678 934 5000</t>
  </si>
  <si>
    <t>NasdaqGS:GILD</t>
  </si>
  <si>
    <t>Headquarters
333 Lakeside Drive 
Foster City, California    94404
United States
Main Phone: 650 574 3000
Main Fax: 650 522 5853</t>
  </si>
  <si>
    <t>NYSE:GPN</t>
  </si>
  <si>
    <t>Headquarters
3550 Lenox Road
Suite 3000 
Atlanta, Georgia    30326
United States
Main Phone: 770 829 8000</t>
  </si>
  <si>
    <t>NYSE:GL</t>
  </si>
  <si>
    <t>Headquarters
7677 Henneman Way 
McKinney, Texas    75070
United States
Main Phone: 972 569 4000
Main Fax: 972 569 3282</t>
  </si>
  <si>
    <t>NYSE:GDDY</t>
  </si>
  <si>
    <t>Headquarters
100 S. Mill Ave
Suite 1600 
Tempe, Arizona    85281
United States
Main Phone: 480 505 8800</t>
  </si>
  <si>
    <t>NYSE:HAL</t>
  </si>
  <si>
    <t>Headquarters
3000 North Sam Houston Parkway East 
Houston, Texas    77032
United States
Main Phone: 281 871 2699</t>
  </si>
  <si>
    <t>NasdaqGS:HAS</t>
  </si>
  <si>
    <t>Headquarters
1027 Newport Avenue 
Pawtucket, Rhode Island    02861
United States
Main Phone: 401 431 8697</t>
  </si>
  <si>
    <t>NYSE:HCA</t>
  </si>
  <si>
    <t>Headquarters
One Park Plaza 
Nashville, Tennessee    37203
United States
Main Phone: 615 344 9551</t>
  </si>
  <si>
    <t>NYSE:DOC</t>
  </si>
  <si>
    <t>Headquarters
4600 South Syracuse Street
Suite 500 
Denver, Colorado    80237
United States
Main Phone: (720) 428-5050
Main Fax: (949) 407-0800</t>
  </si>
  <si>
    <t>NasdaqGS:HSIC</t>
  </si>
  <si>
    <t>Headquarters
135 Duryea Road 
Melville, New York    11747
United States
Main Phone: 631 843 5500</t>
  </si>
  <si>
    <t>NYSE:HPE</t>
  </si>
  <si>
    <t>Headquarters
1701 East Mossy Oaks Road 
Spring, Texas    77389
United States
Main Phone: 678 259 9860</t>
  </si>
  <si>
    <t>NYSE:HLT</t>
  </si>
  <si>
    <t>Headquarters
7930 Jones Branch Drive
Suite 1100 
McLean, Virginia    22102
United States
Main Phone: 703 883 1000</t>
  </si>
  <si>
    <t>NasdaqGS:HOLX</t>
  </si>
  <si>
    <t>Headquarters
250 Campus Drive 
Marlborough, Massachusetts    01752
United States
Main Phone: 508 263 2900</t>
  </si>
  <si>
    <t>NasdaqGS:HON</t>
  </si>
  <si>
    <t>Headquarters
855 South Mint Street 
Charlotte, North Carolina    28202
United States
Main Phone: 704-627-6200</t>
  </si>
  <si>
    <t>NYSE:HRL</t>
  </si>
  <si>
    <t>Headquarters
1 Hormel Place 
Austin, Minnesota    55912-3680
United States
Main Phone: 507 437 5611</t>
  </si>
  <si>
    <t>NasdaqGS:HST</t>
  </si>
  <si>
    <t>Headquarters
4747 Bethesda Avenue
Suite 1300 
Bethesda, Maryland    20814-1109
United States
Main Phone: 240 744 1000
Other Phone: 240 744 5117</t>
  </si>
  <si>
    <t>NYSE:HWM</t>
  </si>
  <si>
    <t>Headquarters
201 Isabella Street
Suite 200 
Pittsburgh, Pennsylvania    15212-5872
United States
Main Phone: 412 553 1950</t>
  </si>
  <si>
    <t>NYSE:HPQ</t>
  </si>
  <si>
    <t>Headquarters
1501 Page Mill Road 
Palo Alto, California    94304
United States
Main Phone: (650)-857-1501</t>
  </si>
  <si>
    <t>NYSE:HUBB</t>
  </si>
  <si>
    <t>Headquarters
40 Waterview Drive 
Shelton, Connecticut    06484
United States
Main Phone: 475 882 4000</t>
  </si>
  <si>
    <t>NYSE:HUM</t>
  </si>
  <si>
    <t>Headquarters
Humana Building
101 East Main Street 
Louisville, Kentucky    40202
United States
Main Phone: 502 580 1000</t>
  </si>
  <si>
    <t>NasdaqGS:HBAN</t>
  </si>
  <si>
    <t>Headquarters
Huntington Center
41 South High Street 
Columbus, Ohio    43287
United States
Main Phone: 614 480 2265</t>
  </si>
  <si>
    <t>NYSE:HII</t>
  </si>
  <si>
    <t>Headquarters
4101 Washington Avenue 
Newport News, Virginia    23607
United States
Main Phone: 757 380 2000</t>
  </si>
  <si>
    <t>NYSE:IEX</t>
  </si>
  <si>
    <t>Headquarters
3100 Sanders Road
Suite 301 
Northbrook, Illinois    60062
United States
Main Phone: 847 498 7070</t>
  </si>
  <si>
    <t>NasdaqGS:IDXX</t>
  </si>
  <si>
    <t>Headquarters
One IDEXX Drive 
Westbrook, Maine    04092
United States
Main Phone: 207 556 0300
Main Fax: 207 556 4346</t>
  </si>
  <si>
    <t>NYSE:ITW</t>
  </si>
  <si>
    <t>Headquarters
155 Harlem Avenue 
Glenview, Illinois    60025
United States
Main Phone: 847 724 7500</t>
  </si>
  <si>
    <t>NasdaqGS:INCY</t>
  </si>
  <si>
    <t>Headquarters
1801 Augustine Cut-Off 
Wilmington, Delaware    19803
United States
Main Phone: 302 498 6700</t>
  </si>
  <si>
    <t>NYSE:IR</t>
  </si>
  <si>
    <t>Headquarters
525 Harbour Place Drive
Suite 600 
Davidson, North Carolina    28036
United States
Main Phone: 704 655 4000</t>
  </si>
  <si>
    <t>NasdaqGS:PODD</t>
  </si>
  <si>
    <t>Headquarters
100 Nagog Park 
Acton, Massachusetts    01720
United States
Main Phone: 978 600 7000</t>
  </si>
  <si>
    <t>NasdaqGS:INTC</t>
  </si>
  <si>
    <t>Headquarters
2200 Mission College Boulevard 
Santa Clara, California    95054-1549
United States
Main Phone: 408 765 8080</t>
  </si>
  <si>
    <t>NasdaqGS:IBKR</t>
  </si>
  <si>
    <t>Headquarters
One Pickwick Plaza 
Greenwich, Connecticut    06830
United States
Main Phone: 203 618 5800</t>
  </si>
  <si>
    <t>NYSE:ICE</t>
  </si>
  <si>
    <t>Headquarters
5660 New Northside Drive
3rd Floor 
Atlanta, Georgia    30328
United States
Main Phone: 770 857 4700</t>
  </si>
  <si>
    <t>NYSE:IBM</t>
  </si>
  <si>
    <t>Headquarters
One New Orchard Road 
Armonk, New York    10504
United States
Main Phone: 914 499 1900</t>
  </si>
  <si>
    <t>NYSE:IFF</t>
  </si>
  <si>
    <t>Headquarters
521 West 57th Street 
New York, New York    10019-2960
United States
Main Phone: 212 765 5500</t>
  </si>
  <si>
    <t>NYSE:IP</t>
  </si>
  <si>
    <t>Headquarters
6400 Poplar Avenue 
Memphis, Tennessee    38197
United States
Main Phone: 901 419 9000</t>
  </si>
  <si>
    <t>NasdaqGS:INTU</t>
  </si>
  <si>
    <t>Headquarters
2700 Coast Avenue 
Mountain View, California    94043
United States
Main Phone: 650 944 6000</t>
  </si>
  <si>
    <t>NasdaqGS:ISRG</t>
  </si>
  <si>
    <t>Headquarters
1020 Kifer Road 
Sunnyvale, California    94086-5304
United States
Main Phone: 408 523 2100
Main Fax: 408 523 1390</t>
  </si>
  <si>
    <t>NYSE:IVZ</t>
  </si>
  <si>
    <t>Headquarters
Midtown Union
1331 Spring Street,
North West, Suite 2500 
Atlanta, Georgia    30309
United States
Main Phone: 404 892 0896
Main Fax: 404 439 3323
Other Phone: 800 241 5477</t>
  </si>
  <si>
    <t>NYSE:INVH</t>
  </si>
  <si>
    <t>Headquarters
5420 LBJ Freeway
Suite 600 
Dallas, Texas    75240
United States
Main Phone: 972 421 3600
Other Phone: 844 456 4684</t>
  </si>
  <si>
    <t>NYSE:IQV</t>
  </si>
  <si>
    <t>Headquarters
2400 Ellis Road 
Durham, North Carolina    27703
United States
Main Phone: 919 998 2000</t>
  </si>
  <si>
    <t>NYSE:IRM</t>
  </si>
  <si>
    <t>Headquarters
85 New Hampshire Avenue
Suite 150 
Portsmouth, New Hampshire    03801
United States
Main Phone: 617 535 4766</t>
  </si>
  <si>
    <t>NasdaqGS:JBHT</t>
  </si>
  <si>
    <t>Headquarters
615 J.B. Hunt Corporate Drive 
Lowell, Arkansas    72745-0130
United States
Main Phone: 479 820 0000</t>
  </si>
  <si>
    <t>NYSE:JBL</t>
  </si>
  <si>
    <t>Headquarters
10800 Roosevelt Boulevard North 
Saint Petersburg, Florida    33716
United States
Main Phone: 727 577 9749</t>
  </si>
  <si>
    <t>NasdaqGS:JKHY</t>
  </si>
  <si>
    <t>Headquarters
663 West Highway 60
PO Box 807 
Monett, Missouri    65708-8215
United States
Main Phone: 417 235 6652</t>
  </si>
  <si>
    <t>NYSE:J</t>
  </si>
  <si>
    <t>Headquarters
1999 Bryan Street
Suite 3500 
Dallas, Texas    75201
United States
Main Phone: 214 583 8500
Main Fax: 214 638 0447</t>
  </si>
  <si>
    <t>NYSE:JNJ</t>
  </si>
  <si>
    <t>Headquarters
One Johnson &amp; Johnson Plaza 
New Brunswick, New Jersey    08933
United States
Main Phone: 732 524 0400</t>
  </si>
  <si>
    <t>NYSE:JPM</t>
  </si>
  <si>
    <t>Headquarters
270 Park Avenue 
New York, New York    10017
United States
Main Phone: 212 270 6000</t>
  </si>
  <si>
    <t>NYSE:KVUE</t>
  </si>
  <si>
    <t>Headquarters
1 Kenvue Way 
Summit, New Jersey    07901
United States
Main Phone: 908 874 1200</t>
  </si>
  <si>
    <t>NasdaqGS:KDP</t>
  </si>
  <si>
    <t>Headquarters
6425 Hall of Fame Lane 
Frisco, Texas    75034
United States
Main Phone: 800 527 7096</t>
  </si>
  <si>
    <t>NYSE:KEY</t>
  </si>
  <si>
    <t>Headquarters
127 Public Square 
Cleveland, Ohio    44114-1306
United States
Main Phone: 216 689 3000</t>
  </si>
  <si>
    <t>NYSE:KEYS</t>
  </si>
  <si>
    <t>Headquarters
1400 Fountaingrove Parkway 
Santa Rosa, California    95403-1738
United States
Main Phone: 800 829 4444
Main Fax: 800 829 4433</t>
  </si>
  <si>
    <t>NasdaqGS:KMB</t>
  </si>
  <si>
    <t>Headquarters
PO Box 619100 
Dallas, Texas    75261-9100
United States
Main Phone: 972 281 1200</t>
  </si>
  <si>
    <t>NYSE:KIM</t>
  </si>
  <si>
    <t>Headquarters
500 North Broadway
Suite 201 
Jericho, New York    11753-2128
United States
Main Phone: 516 869 9000
Main Fax: 516 869 9001
Other Phone: 833 800 4343</t>
  </si>
  <si>
    <t>NYSE:KMI</t>
  </si>
  <si>
    <t>Headquarters
1001 Louisiana Street
Suite 1000 
Houston, Texas    77002
United States
Main Phone: 713 369 9000</t>
  </si>
  <si>
    <t>NYSE:KKR</t>
  </si>
  <si>
    <t>Headquarters
30 Hudson Yards
Suite 7500 
New York, New York    10001
United States
Main Phone: 212 750 8300
Other Phone: 212 750 8300</t>
  </si>
  <si>
    <t>NasdaqGS:KLAC</t>
  </si>
  <si>
    <t>Headquarters
One Technology Drive 
Milpitas, California    95035
United States
Main Phone: 408 875 3000
Main Fax: 408 875 4875</t>
  </si>
  <si>
    <t>NYSE:LHX</t>
  </si>
  <si>
    <t>Headquarters
1025 West NASA Boulevard 
Melbourne, Florida    32919
United States
Main Phone: 321 727 9100</t>
  </si>
  <si>
    <t>NYSE:LH</t>
  </si>
  <si>
    <t>Headquarters
358 South Main Street 
Burlington, North Carolina    27215
United States
Main Phone: 336 229 1127</t>
  </si>
  <si>
    <t>NasdaqGS:LRCX</t>
  </si>
  <si>
    <t>Headquarters
4650 Cushing Parkway 
Fremont, California    94538
United States
Main Phone: 510 572 0200</t>
  </si>
  <si>
    <t>NYSE:LVS</t>
  </si>
  <si>
    <t>Headquarters
5420 S. Durango Dr 
Las Vegas, Nevada    89113
United States
Main Phone: 702 923 9000</t>
  </si>
  <si>
    <t>NYSE:LDOS</t>
  </si>
  <si>
    <t>Headquarters
1750 Presidents Street 
Reston, Virginia    20190
United States
Main Phone: 571 526 6000</t>
  </si>
  <si>
    <t>NYSE:LEN</t>
  </si>
  <si>
    <t>Headquarters
5505 Waterford District Drive 
Miami, Florida    33126
United States
Main Phone: 305 559 4000</t>
  </si>
  <si>
    <t>NYSE:LII</t>
  </si>
  <si>
    <t>Headquarters
2140 Lake Park Blvd. 
Richardson, Texas    75080
United States
Main Phone: 972 497 5000</t>
  </si>
  <si>
    <t>NYSE:LYV</t>
  </si>
  <si>
    <t>Headquarters
9348 Civic Center Drive 
Beverly Hills, California    90210
United States
Main Phone: 310 867 7000</t>
  </si>
  <si>
    <t>NYSE:LMT</t>
  </si>
  <si>
    <t>Headquarters
6801 Rockledge Drive 
Bethesda, Maryland    20817
United States
Main Phone: 301 897 6000
Main Fax: 720 479 2750</t>
  </si>
  <si>
    <t>NYSE:L</t>
  </si>
  <si>
    <t>Headquarters
9 West 57th Street 
New York, New York    10019-2714
United States
Main Phone: 212 521 2000</t>
  </si>
  <si>
    <t>NYSE:LOW</t>
  </si>
  <si>
    <t>Headquarters
1000 Lowes Boulevard 
Mooresville, North Carolina    28117
United States
Main Phone: 704 758 1000</t>
  </si>
  <si>
    <t>Lumentum Holdings Inc. (NasdaqGS:LITE)</t>
  </si>
  <si>
    <t>NasdaqGS:LITE</t>
  </si>
  <si>
    <t>Headquarters
1001 Ridder Park Drive 
San Jose, California    95131
United States
Main Phone: 408 546 5483</t>
  </si>
  <si>
    <t>NYSE:MTB</t>
  </si>
  <si>
    <t>Headquarters
One M&amp;T Plaza 
Buffalo, New York    14203
United States
Main Phone: 716 635 4000</t>
  </si>
  <si>
    <t>NYSE:MPC</t>
  </si>
  <si>
    <t>Headquarters
539 South Main Street 
Findlay, Ohio    45840-3229
United States
Main Phone: 419 422 2121</t>
  </si>
  <si>
    <t>NasdaqGS:MAR</t>
  </si>
  <si>
    <t>Headquarters
7750 Wisconsin Avenue 
Bethesda, Maryland    20814
United States
Main Phone: 301 380 3000</t>
  </si>
  <si>
    <t>NYSE:MRSH</t>
  </si>
  <si>
    <t>Headquarters
1166 Avenue of the Americas 
New York, New York    10036-2774
United States
Main Phone: 212-345-5000</t>
  </si>
  <si>
    <t>NYSE:MLM</t>
  </si>
  <si>
    <t>Headquarters
4123 Parklake Avenue 
Raleigh, North Carolina    27612
United States
Main Phone: 919 781 4550</t>
  </si>
  <si>
    <t>NYSE:MAS</t>
  </si>
  <si>
    <t>Headquarters
17450 College Parkway 
Livonia, Michigan    48152
United States
Main Phone: 313 274 7400
Main Fax: 313 792 4177</t>
  </si>
  <si>
    <t>NYSE:MA</t>
  </si>
  <si>
    <t>Headquarters
2000 Purchase Street 
Purchase, New York    10577
United States
Main Phone: 914 249 2000</t>
  </si>
  <si>
    <t>NYSE:MKC</t>
  </si>
  <si>
    <t>Headquarters
24 Schilling Road
Suite 1 
Hunt Valley, Maryland    21031
United States
Main Phone: 410 771 7301</t>
  </si>
  <si>
    <t>NYSE:MCD</t>
  </si>
  <si>
    <t>Headquarters
110 North Carpenter Street 
Chicago, Illinois    60607
United States
Main Phone: 630 623 3000</t>
  </si>
  <si>
    <t>NYSE:MCK</t>
  </si>
  <si>
    <t>Headquarters
6555 State Highway 161 
Irving, Texas    75039
United States
Main Phone: 972 446 4800</t>
  </si>
  <si>
    <t>NYSE:MRK</t>
  </si>
  <si>
    <t>Headquarters
126 East Lincoln Avenue 
Rahway, New Jersey    07065
United States
Main Phone: 908 740 4000</t>
  </si>
  <si>
    <t>NasdaqGS:META</t>
  </si>
  <si>
    <t>Headquarters
1 Meta Way 
Menlo Park, California    94025
United States
Main Phone: 650 543 4800</t>
  </si>
  <si>
    <t>NYSE:MET</t>
  </si>
  <si>
    <t>Headquarters
200 Park Avenue 
New York, New York    10166-0188
United States
Main Phone: 212 578 9500</t>
  </si>
  <si>
    <t>NYSE:MGM</t>
  </si>
  <si>
    <t>Headquarters
3600 Las Vegas Boulevard South 
Las Vegas, Nevada    89109
United States
Main Phone: 702 693 7120</t>
  </si>
  <si>
    <t>NasdaqGS:MCHP</t>
  </si>
  <si>
    <t>Headquarters
2355 West Chandler Boulevard 
Chandler, Arizona    85224-6199
United States
Main Phone: 480 792 7200</t>
  </si>
  <si>
    <t>NasdaqGS:MU</t>
  </si>
  <si>
    <t>Headquarters
8000 South Federal Way 
Boise, Idaho    83716-9632
United States
Main Phone: 208 368 4000</t>
  </si>
  <si>
    <t>NasdaqGS:MSFT</t>
  </si>
  <si>
    <t>Headquarters
One Microsoft Way 
Redmond, Washington    98052-6399
United States
Main Phone: 425 882 8080</t>
  </si>
  <si>
    <t>NYSE:MAA</t>
  </si>
  <si>
    <t>Headquarters
6815 Poplar Avenue
Suite 500 
Germantown, Tennessee    38138-3606
United States
Main Phone: 901 682 6600
Main Fax: 901 682 6667
Other Phone: 866 576 9689</t>
  </si>
  <si>
    <t>NasdaqGS:MRNA</t>
  </si>
  <si>
    <t>Headquarters
325 Binney Street 
Cambridge, Massachusetts    02142
United States
Main Phone: 617 714 6500</t>
  </si>
  <si>
    <t>NYSE:TAP</t>
  </si>
  <si>
    <t>Headquarters
PO Box 4030
BC555 
Golden, Colorado    80401
United States
Main Phone: 303 279 6565</t>
  </si>
  <si>
    <t>NasdaqGS:MDLZ</t>
  </si>
  <si>
    <t>Headquarters
905 West Fulton Market
Suite 200 
Chicago, Illinois    60607
United States
Main Phone: 847 943 4000</t>
  </si>
  <si>
    <t>NasdaqGS:MPWR</t>
  </si>
  <si>
    <t>Headquarters
1555 Palm Beach Lakes Boulevard 
West Palm Beach, Florida    33401
United States
Main Phone: 561 839 3999</t>
  </si>
  <si>
    <t>NasdaqGS:MNST</t>
  </si>
  <si>
    <t>Headquarters
1 Monster Way 
Corona, California    92879
United States
Main Phone: 951 739 6200</t>
  </si>
  <si>
    <t>NYSE:MCO</t>
  </si>
  <si>
    <t>Headquarters
7 World Trade Ctr at 250 Greenwich St 
New York, New York    10007
United States
Main Phone: 212 553 0300</t>
  </si>
  <si>
    <t>NYSE:MS</t>
  </si>
  <si>
    <t>Headquarters
1585 Broadway 
New York, New York    10036
United States
Main Phone: 212 761 4000</t>
  </si>
  <si>
    <t>NYSE:MSI</t>
  </si>
  <si>
    <t>Headquarters
500 West Monroe Street 
Chicago, Illinois    60661
United States
Main Phone: 847 576 5000</t>
  </si>
  <si>
    <t>NYSE:MSCI</t>
  </si>
  <si>
    <t>Headquarters
7 World Trade Center
49th Floor
250 Greenwich Street 
New York, New York    10007
United States
Main Phone: 212 804 3900</t>
  </si>
  <si>
    <t>NasdaqGS:NDAQ</t>
  </si>
  <si>
    <t>Headquarters
151 West 42nd Street
Floors 26, 27, 28 
New York, New York    10036
United States
Main Phone: 212 401 8700</t>
  </si>
  <si>
    <t>NasdaqGS:NTAP</t>
  </si>
  <si>
    <t>Headquarters
3060 Olsen Drive 
San Jose, California    95128
United States
Main Phone: 408 822 6000</t>
  </si>
  <si>
    <t>NasdaqGS:NFLX</t>
  </si>
  <si>
    <t>Headquarters
121 Albright Way 
Los Gatos, California    95032
United States
Main Phone: (408) 540-3700</t>
  </si>
  <si>
    <t>NYSE:NEM</t>
  </si>
  <si>
    <t>Headquarters
6900 E Layton Avenue
Suite 700 
Denver, Colorado    80237
United States
Main Phone: 303 863 7414
Main Fax: 303 837 5837</t>
  </si>
  <si>
    <t>NasdaqGS:NWSA</t>
  </si>
  <si>
    <t>NasdaqGS:NWS
Company: News Corporation
(IQT241894832) - S&amp;P 500</t>
  </si>
  <si>
    <t>Headquarters
1211 Avenue of the Americas 
New York, New York    10036
United States
Main Phone: 212 416 3400</t>
  </si>
  <si>
    <t>NYSE:NEE</t>
  </si>
  <si>
    <t>Headquarters
700 Universe Boulevard 
Juno Beach, Florida    33408
United States
Main Phone: 561 694 4000</t>
  </si>
  <si>
    <t>NYSE:NKE</t>
  </si>
  <si>
    <t>Headquarters
One Bowerman Drive 
Beaverton, Oregon    97005-6453
United States
Main Phone: 503 671 6453</t>
  </si>
  <si>
    <t>NYSE:NI</t>
  </si>
  <si>
    <t>Headquarters
801 East 86th Avenue 
Merrillville, Indiana    46410
United States
Main Phone: 614 460 6000</t>
  </si>
  <si>
    <t>NasdaqGS:NDSN</t>
  </si>
  <si>
    <t>Headquarters
28601 Clemens Road 
Westlake, Ohio    44145-4551
United States
Main Phone: 440-892-1580</t>
  </si>
  <si>
    <t>NYSE:NSC</t>
  </si>
  <si>
    <t>Headquarters
650 West Peachtree Street NW 
Atlanta, Georgia    30308-1925
United States
Main Phone: 855 667 3655</t>
  </si>
  <si>
    <t>NasdaqGS:NTRS</t>
  </si>
  <si>
    <t>Headquarters
50 South La Salle Street 
Chicago, Illinois    60603
United States
Main Phone: 312 630 6000</t>
  </si>
  <si>
    <t>NYSE:NOC</t>
  </si>
  <si>
    <t>Headquarters
2980 Fairview Park Drive 
Falls Church, Virginia    22042
United States
Main Phone: 703 280 2900</t>
  </si>
  <si>
    <t>NYSE:NCLH</t>
  </si>
  <si>
    <t>Headquarters
7665 Corporate Center Drive 
Miami, Florida    33126
United States
Main Phone: 305 436 4000
Main Fax: 305 436 4140</t>
  </si>
  <si>
    <t>NYSE:NRG</t>
  </si>
  <si>
    <t>Headquarters
1301 McKinney Street 
Houston, Texas    77010
United States
Main Phone: 713 537 3000</t>
  </si>
  <si>
    <t>NYSE:NUE</t>
  </si>
  <si>
    <t>Headquarters
1915 Rexford Road 
Charlotte, North Carolina    28211
United States
Main Phone: 704 366 7000
Main Fax: 704 362 4208</t>
  </si>
  <si>
    <t>NasdaqGS:NVDA</t>
  </si>
  <si>
    <t>Headquarters
2788 San Tomas Expressway 
Santa Clara, California    95051
United States
Main Phone: 408 486 2000</t>
  </si>
  <si>
    <t>NYSE:NVR</t>
  </si>
  <si>
    <t>Headquarters
Plaza America Tower I
Suite 500
11700 Plaza America Drive 
Reston, Virginia    20190
United States
Main Phone: 703 956 4000</t>
  </si>
  <si>
    <t>NasdaqGS:ORLY</t>
  </si>
  <si>
    <t>Headquarters
233 South Patterson Avenue 
Springfield, Missouri    65802-2298
United States
Main Phone: 417 862 6708</t>
  </si>
  <si>
    <t>NYSE:OXY</t>
  </si>
  <si>
    <t>Headquarters
5 Greenway Plaza
Suite 110 
Houston, Texas    77046-0521
United States
Main Phone: 713 215 7000</t>
  </si>
  <si>
    <t>NasdaqGS:ODFL</t>
  </si>
  <si>
    <t>Headquarters
500 Old Dominion Way 
Thomasville, North Carolina    27360
United States
Main Phone: 336 889 5000</t>
  </si>
  <si>
    <t>NYSE:OMC</t>
  </si>
  <si>
    <t>Headquarters
280 Park Avenue 
New York, New York    10017
United States
Main Phone: (212) 415-3600
Main Fax: (212) 415-3530</t>
  </si>
  <si>
    <t>NasdaqGS:ON</t>
  </si>
  <si>
    <t>Headquarters
5701 North Pima Road 
Scottsdale, Arizona    85250
United States
Main Phone: 602 244 6600</t>
  </si>
  <si>
    <t>NYSE:OKE</t>
  </si>
  <si>
    <t>Headquarters
100 West Fifth Street 
Tulsa, Oklahoma    74103
United States
Main Phone: 918 588 7000</t>
  </si>
  <si>
    <t>NYSE:ORCL</t>
  </si>
  <si>
    <t>Headquarters
2300 Oracle Way 
Austin, Texas    78741
United States
Main Phone: (737) 867-1000</t>
  </si>
  <si>
    <t>NYSE:OTIS</t>
  </si>
  <si>
    <t>Headquarters
One Carrier Place 
Farmington, Connecticut    06032
United States
Main Phone: 860 674 3000</t>
  </si>
  <si>
    <t>NasdaqGS:PCAR</t>
  </si>
  <si>
    <t>Headquarters
777 - 106th Avenue N.E. 
Bellevue, Washington    98004
United States
Main Phone: 425 468 7400
Main Fax: 425 468 8216</t>
  </si>
  <si>
    <t>NYSE:PKG</t>
  </si>
  <si>
    <t>Headquarters
1 North Field Court 
Lake Forest, Illinois    60045
United States
Main Phone: 847 482 3000
Main Fax: 847 482 4545</t>
  </si>
  <si>
    <t>NasdaqGS:PLTR</t>
  </si>
  <si>
    <t>Headquarters
19505 Biscayne Blvd
Suite 2350 
Aventura, Florida    33180
United States
Main Phone: 720 358 3679</t>
  </si>
  <si>
    <t>NasdaqGS:PANW</t>
  </si>
  <si>
    <t>Headquarters
3000 Tannery Way 
Santa Clara, California    95054
United States
Main Phone: 408 753 4000</t>
  </si>
  <si>
    <t>NasdaqGS:PSKY</t>
  </si>
  <si>
    <t>Headquarters
1515 Broadway 
New York, New York    10036
United States
Main Phone: 212 258 6000</t>
  </si>
  <si>
    <t>NYSE:PH</t>
  </si>
  <si>
    <t>Headquarters
6035 Parkland Boulevard 
Cleveland, Ohio    44124-4141
United States
Main Phone: 216 896 3000</t>
  </si>
  <si>
    <t>NasdaqGS:PAYX</t>
  </si>
  <si>
    <t>Headquarters
911 Panorama Trail South 
Rochester, New York    14625-2396
United States
Main Phone: 585 385 6666</t>
  </si>
  <si>
    <t>NasdaqGS:PYPL</t>
  </si>
  <si>
    <t>Headquarters
2211 North First Street 
San Jose, California    95131
United States
Main Phone: 408 967 7000</t>
  </si>
  <si>
    <t>NasdaqGS:PEP</t>
  </si>
  <si>
    <t>Headquarters
700 Anderson Hill Road 
Purchase, New York    10577
United States
Main Phone: (914) 253-2000</t>
  </si>
  <si>
    <t>NYSE:PFE</t>
  </si>
  <si>
    <t>Headquarters
66 Hudson Boulevard East 
New York, New York    10001-2192
United States
Main Phone: 212 733 2323</t>
  </si>
  <si>
    <t>NYSE:PCG</t>
  </si>
  <si>
    <t>Headquarters
300 Lakeside Drive 
Oakland, California    94612
United States
Main Phone: 415 973 1000</t>
  </si>
  <si>
    <t>NYSE:PM</t>
  </si>
  <si>
    <t>Headquarters
677 Washington Boulevard
Suite 1100 
Stamford, Connecticut    06901
United States
Main Phone: 203 905 2410</t>
  </si>
  <si>
    <t>NYSE:PSX</t>
  </si>
  <si>
    <t>Headquarters
2331 CityWest Boulevard 
Houston, Texas    77042
United States
Main Phone: 832 765 3010</t>
  </si>
  <si>
    <t>NYSE:PNW</t>
  </si>
  <si>
    <t>Headquarters
400 North Fifth Street
PO Box 53999 
Phoenix, Arizona    85072-3999
United States
Main Phone: 602 250 1000</t>
  </si>
  <si>
    <t>NasdaqGS:POOL</t>
  </si>
  <si>
    <t>Headquarters
109 Northpark Boulevard 
Covington, Louisiana    70433-5001
United States
Main Phone: 985 892 5521</t>
  </si>
  <si>
    <t>NYSE:PPG</t>
  </si>
  <si>
    <t>Headquarters
One PPG Place 
Pittsburgh, Pennsylvania    15272
United States
Main Phone: 412 434 3131</t>
  </si>
  <si>
    <t>NYSE:PPL</t>
  </si>
  <si>
    <t>Headquarters
645 Hamilton Street 
Allentown, Pennsylvania    18101
United States
Main Phone: 610 774 5151</t>
  </si>
  <si>
    <t>NasdaqGS:PFG</t>
  </si>
  <si>
    <t>Headquarters
711 High Street 
Des Moines, Iowa    50392
United States
Main Phone: 515 247 5111</t>
  </si>
  <si>
    <t>NYSE:PLD</t>
  </si>
  <si>
    <t>Headquarters
Pier 1, Bay 1 
San Francisco, California    94111
United States
Main Phone: 415 394 9000
Main Fax: 415 394 9001</t>
  </si>
  <si>
    <t>NYSE:PRU</t>
  </si>
  <si>
    <t>Headquarters
751 Broad Street 
Newark, New Jersey    07102
United States
Main Phone: 973 802 6000</t>
  </si>
  <si>
    <t>NasdaqGS:PTC</t>
  </si>
  <si>
    <t>Headquarters
121 Seaport Boulevard 
Boston, Massachusetts    02210
United States
Main Phone: 781 370 5000
Main Fax: 781 370 6000</t>
  </si>
  <si>
    <t>NYSE:PEG</t>
  </si>
  <si>
    <t>Headquarters
80 Park Plaza 
Newark, New Jersey    07102
United States
Main Phone: 973 430 7000</t>
  </si>
  <si>
    <t>NYSE:PSA</t>
  </si>
  <si>
    <t>Headquarters
701 Western Avenue
2nd Floor 
Frisco, Texas    91201-2349
United States
Main Phone: 818 244 8080
Main Fax: 818 291 1015
Other Phone: 800 421 2856</t>
  </si>
  <si>
    <t>NYSE:PHM</t>
  </si>
  <si>
    <t>Headquarters
3350 Peachtree Road NE
Suite 1500 
Atlanta, Georgia    30326
United States
Main Phone: 404 978 6400</t>
  </si>
  <si>
    <t>NYSE:Q</t>
  </si>
  <si>
    <t>Headquarters
Building 735
974 Centre Road 
Wilmington, Delaware    19805
United States
Main Phone: 302 294 4651</t>
  </si>
  <si>
    <t>NasdaqGS:QCOM</t>
  </si>
  <si>
    <t>Headquarters
5775 Morehouse Drive 
San Diego, California    92121-1714
United States
Main Phone: 858 587 1121</t>
  </si>
  <si>
    <t>NYSE:PWR</t>
  </si>
  <si>
    <t>Headquarters
2727 North Loop West 
Houston, Texas    77008
United States
Main Phone: 713 629 7600</t>
  </si>
  <si>
    <t>NYSE:DGX</t>
  </si>
  <si>
    <t>Headquarters
500 Plaza Drive 
Secaucus, New Jersey    07094
United States
Main Phone: 973 520 2700</t>
  </si>
  <si>
    <t>NYSE:RL</t>
  </si>
  <si>
    <t>Headquarters
650 Madison Avenue 
New York, New York    10022
United States
Main Phone: 212 318 7000</t>
  </si>
  <si>
    <t>NYSE:RJF</t>
  </si>
  <si>
    <t>Headquarters
880 Carillon Parkway 
Saint Petersburg, Florida    33716
United States
Main Phone: 727 567 1000</t>
  </si>
  <si>
    <t>NYSE:O</t>
  </si>
  <si>
    <t>Headquarters
11995 El Camino Real 
San Diego, California    92130
United States
Main Phone: (858) 284-5000
Main Fax: (858) 481-4860</t>
  </si>
  <si>
    <t>NasdaqGS:REG</t>
  </si>
  <si>
    <t>Headquarters
One Independent Drive
Suite 114 
Jacksonville, Florida    32202-5019
United States
Main Phone: 904 598 7000</t>
  </si>
  <si>
    <t>NasdaqGS:REGN</t>
  </si>
  <si>
    <t>Headquarters
777 Old Saw Mill River Road 
Tarrytown, New York    10591-6707
United States
Main Phone: 914 847 7000</t>
  </si>
  <si>
    <t>NYSE:RF</t>
  </si>
  <si>
    <t>Headquarters
1900 Fifth Avenue North 
Birmingham, Alabama    35203
United States
Main Phone: 800 734 4667</t>
  </si>
  <si>
    <t>NYSE:RSG</t>
  </si>
  <si>
    <t>Headquarters
5353 East City North Drive 
Phoenix, Arizona    85054
United States
Main Phone: 480 627 2700</t>
  </si>
  <si>
    <t>NYSE:RMD</t>
  </si>
  <si>
    <t>Headquarters
9001 Spectrum Center Boulevard 
San Diego, California    92123
United States
Main Phone: 858-836-5000</t>
  </si>
  <si>
    <t>NYSE:RVTY</t>
  </si>
  <si>
    <t>Headquarters
77 4th Avenue 
Waltham, Massachusetts    02451
United States
Main Phone: 781 663 6900</t>
  </si>
  <si>
    <t>NasdaqGS:HOOD</t>
  </si>
  <si>
    <t>Headquarters
85 Willow Road 
Menlo Park, California    94025
United States
Main Phone: 844 428 5411</t>
  </si>
  <si>
    <t>NYSE:ROK</t>
  </si>
  <si>
    <t>Headquarters
1201 South Second Street 
Milwaukee, Wisconsin    53204-2410
United States
Main Phone: 414 382 2000</t>
  </si>
  <si>
    <t>NYSE:ROL</t>
  </si>
  <si>
    <t>Headquarters
2170 Piedmont Road, N.E. 
Atlanta, Georgia    30324
United States
Main Phone: 404 888 2000</t>
  </si>
  <si>
    <t>NasdaqGS:ROP</t>
  </si>
  <si>
    <t>Headquarters
6496 University Parkway 
Sarasota, Florida    34240
United States
Main Phone: 941 556 2601</t>
  </si>
  <si>
    <t>NasdaqGS:ROST</t>
  </si>
  <si>
    <t>Headquarters
5130 Hacienda Drive 
Dublin, California    94568-7579
United States
Main Phone: 925 965 4400</t>
  </si>
  <si>
    <t>NYSE:RCL</t>
  </si>
  <si>
    <t>Headquarters
1050 Caribbean Way 
Miami, Florida    33132-2096
United States
Main Phone: 305 539 6000</t>
  </si>
  <si>
    <t>NYSE:RTX</t>
  </si>
  <si>
    <t>Headquarters
1000 Wilson Boulevard 
Arlington, Virginia    22209
United States
Main Phone: 781 522 3000</t>
  </si>
  <si>
    <t>NYSE:SPGI</t>
  </si>
  <si>
    <t>Headquarters
55 Water Street 
New York, New York    10041
United States
Main Phone: 212-438-1000</t>
  </si>
  <si>
    <t>NYSE:CRM</t>
  </si>
  <si>
    <t>Headquarters
Salesforce Tower
3rd Floor
415 Mission Street 
San Francisco, California    94105
United States
Main Phone: 415 901 7000
Main Fax: 415 901 7040</t>
  </si>
  <si>
    <t>NasdaqGS:SNDK</t>
  </si>
  <si>
    <t>Headquarters
951 Sandisk Drive 
Milpitas, California    95035
United States
Main Phone: 408 801 1000</t>
  </si>
  <si>
    <t>NasdaqGS:SBAC</t>
  </si>
  <si>
    <t>Headquarters
8051 Congress Avenue 
Boca Raton, Florida    33487-1307
United States
Main Phone: 561 995 7670
Main Fax: 561 998 3448</t>
  </si>
  <si>
    <t>NYSE:SRE</t>
  </si>
  <si>
    <t>Headquarters
488 8th Avenue 
San Diego, California    92101
United States
Main Phone: 619 696 2000</t>
  </si>
  <si>
    <t>NYSE:NOW</t>
  </si>
  <si>
    <t>Headquarters
2225 Lawson Lane 
Santa Clara, California    95054
United States
Main Phone: 408 501 8550</t>
  </si>
  <si>
    <t>NYSE:SPG</t>
  </si>
  <si>
    <t>Headquarters
225 West Washington Street 
Indianapolis, Indiana    46204-3438
United States
Main Phone: 317 636 1600
Other Phone: 317 685 7330</t>
  </si>
  <si>
    <t>NasdaqGS:SWKS</t>
  </si>
  <si>
    <t>Headquarters
5260 California Avenue 
Irvine, California    92617
United States
Main Phone: 949 231 3000</t>
  </si>
  <si>
    <t>NYSE:SLB</t>
  </si>
  <si>
    <t>Headquarters
5599 San Felipe
17th Floor 
Houston, Texas    77056
United States
Main Phone: 713 513 2000</t>
  </si>
  <si>
    <t>NYSE:SNA</t>
  </si>
  <si>
    <t>Headquarters
2801 80th Street 
Kenosha, Wisconsin    53143
United States
Main Phone: 262 656 5200</t>
  </si>
  <si>
    <t>NYSE:SOLV</t>
  </si>
  <si>
    <t>Headquarters
1750 Yankee Doodle Road 
Eagan, Minnesota    55121
United States</t>
  </si>
  <si>
    <t>NYSE:LUV</t>
  </si>
  <si>
    <t>Headquarters
P.O. Box 36611 
Dallas, Texas    75235-1611
United States
Main Phone: 214 792 4000</t>
  </si>
  <si>
    <t>NYSE:SWK</t>
  </si>
  <si>
    <t>Headquarters
1000 Stanley Drive 
New Britain, Connecticut    06053
United States
Main Phone: 860 225 5111</t>
  </si>
  <si>
    <t>NasdaqGS:SBUX</t>
  </si>
  <si>
    <t>Headquarters
2401 Utah Avenue South 
Seattle, Washington    98134
United States
Main Phone: 206 447 1575</t>
  </si>
  <si>
    <t>NYSE:STT</t>
  </si>
  <si>
    <t>Headquarters
One Congress Street 
Boston, Massachusetts    02114
United States
Main Phone: 617 786 3000</t>
  </si>
  <si>
    <t>NasdaqGS:STLD</t>
  </si>
  <si>
    <t>Headquarters
7575 West Jefferson Boulevard 
Fort Wayne, Indiana    46804
United States
Main Phone: 260 969 3500</t>
  </si>
  <si>
    <t>NYSE:STE</t>
  </si>
  <si>
    <t>Headquarters
5960 Heisley Road 
Mentor, Ohio    44060
United States
Main Phone: 440 354 2600</t>
  </si>
  <si>
    <t>NYSE:SYK</t>
  </si>
  <si>
    <t>Headquarters
1941 Stryker Way 
Portage, Michigan    49002
United States
Main Phone: (269) 385-2600
Main Fax: (269) 385-1062</t>
  </si>
  <si>
    <t>NasdaqGS:SMCI</t>
  </si>
  <si>
    <t>Headquarters
980 Rock Avenue 
San Jose, California    95131
United States
Main Phone: 408 503 8000
Main Fax: 408 503 8008</t>
  </si>
  <si>
    <t>NYSE:SYF</t>
  </si>
  <si>
    <t>Headquarters
777 Long Ridge Road 
Stamford, Connecticut    06902
United States
Main Phone: 203 585 2400</t>
  </si>
  <si>
    <t>NasdaqGS:SNPS</t>
  </si>
  <si>
    <t>Headquarters
675 Almanor Avenue 
Sunnyvale, California    94085
United States
Main Phone: 650-584-5000
Main Fax: 650-965-8637</t>
  </si>
  <si>
    <t>NYSE:SYY</t>
  </si>
  <si>
    <t>Headquarters
1390 Enclave Parkway 
Houston, Texas    77077-2099
United States
Main Phone: 281 584 1390</t>
  </si>
  <si>
    <t>NasdaqGS:TMUS</t>
  </si>
  <si>
    <t>Headquarters
12920 SE 38th Street 
Bellevue, Washington    98006-1350
United States
Main Phone: 425 378 4000</t>
  </si>
  <si>
    <t>NasdaqGS:TROW</t>
  </si>
  <si>
    <t>Headquarters
1307 Point Street 
Baltimore, Maryland    21231
United States
Main Phone: 410 345 2000
Other Phone: 800-225-5132</t>
  </si>
  <si>
    <t>NasdaqGS:TTWO</t>
  </si>
  <si>
    <t>Headquarters
110 West 44th Street 
New York, New York    10036
United States
Main Phone: 646 536 2842</t>
  </si>
  <si>
    <t>NYSE:TPR</t>
  </si>
  <si>
    <t>Headquarters
10 Hudson Yards 
New York, New York    10001
United States
Main Phone: 212 946 8400</t>
  </si>
  <si>
    <t>NYSE:TRGP</t>
  </si>
  <si>
    <t>Headquarters
811 Louisiana Street
Suite 2100 
Houston, Texas    77002
United States
Main Phone: 713 584 1000
Main Fax: 713 584 1100</t>
  </si>
  <si>
    <t>NYSE:TGT</t>
  </si>
  <si>
    <t>Headquarters
1000 Nicollet Mall 
Minneapolis, Minnesota    55403
United States
Main Phone: 612 304 6073</t>
  </si>
  <si>
    <t>NYSE:TDY</t>
  </si>
  <si>
    <t>Headquarters
1049 Camino Dos Rios 
Thousand Oaks, California    91360-2362
United States
Main Phone: 805 373 4545</t>
  </si>
  <si>
    <t>NasdaqGS:TER</t>
  </si>
  <si>
    <t>Headquarters
600 Riverpark Drive 
North Reading, Massachusetts    01864
United States
Main Phone: 978 370 2700</t>
  </si>
  <si>
    <t>NasdaqGS:TSLA</t>
  </si>
  <si>
    <t>Headquarters
1 Tesla Road 
Austin, Texas    78725
United States
Main Phone: 512 516 8177</t>
  </si>
  <si>
    <t>NasdaqGS:TXN</t>
  </si>
  <si>
    <t>Headquarters
12500 TI Boulevard 
Dallas, Texas    75243
United States
Main Phone: 214 479 3773</t>
  </si>
  <si>
    <t>NYSE:TPL</t>
  </si>
  <si>
    <t>Headquarters
2699 Howell Street
Suite 800 
Dallas, Texas    75204
United States
Main Phone: 214 969 5530</t>
  </si>
  <si>
    <t>NYSE:TXT</t>
  </si>
  <si>
    <t>Headquarters
40 Westminster Street 
Providence, Rhode Island    02903
United States
Main Phone: 401 421 2800</t>
  </si>
  <si>
    <t>NYSE:AES</t>
  </si>
  <si>
    <t>Headquarters
4300 Wilson Boulevard
11th Floor 
Arlington, Virginia    22203
United States
Main Phone: 703 522 1315</t>
  </si>
  <si>
    <t>NYSE:ALL</t>
  </si>
  <si>
    <t>Headquarters
3100 Sanders Road 
Northbrook, Illinois    60062
United States
Main Phone: 847 402 2800</t>
  </si>
  <si>
    <t>NYSE:BK</t>
  </si>
  <si>
    <t>Headquarters
240 Greenwich Street 
New York, New York    10286
United States
Main Phone: 212 495 1784</t>
  </si>
  <si>
    <t>NYSE:BA</t>
  </si>
  <si>
    <t>Headquarters
929 Long Bridge Drive 
Arlington, Virginia    22202-4208
United States
Main Phone: 703-465-3500</t>
  </si>
  <si>
    <t>NasdaqGS:CPB</t>
  </si>
  <si>
    <t>Headquarters
1 Campbell Place 
Camden, New Jersey    08103-1799
United States
Main Phone: 856 342 4800</t>
  </si>
  <si>
    <t>NYSE:SCHW</t>
  </si>
  <si>
    <t>Headquarters
3000 Schwab Way 
Westlake, Texas    76262
United States
Main Phone: 817 859 5000</t>
  </si>
  <si>
    <t>NYSE:CI</t>
  </si>
  <si>
    <t>Headquarters
900 Cottage Grove Road 
Bloomfield, Connecticut    06002
United States
Main Phone: 860 226 6000</t>
  </si>
  <si>
    <t>NYSE:CLX</t>
  </si>
  <si>
    <t>Headquarters
1221 Broadway 
Oakland, California    94612-1888
United States
Main Phone: 510 271 7000</t>
  </si>
  <si>
    <t>NYSE:KO</t>
  </si>
  <si>
    <t>Headquarters
One Coca-Cola Plaza 
Atlanta, Georgia    30313
United States
Main Phone: 404 676 2121</t>
  </si>
  <si>
    <t>NasdaqGS:COO</t>
  </si>
  <si>
    <t>Headquarters
6101 Bollinger Canyon Road
Suite 500 
San Ramon, California    94583
United States
Main Phone: 925 460 3600</t>
  </si>
  <si>
    <t>The Estée Lauder Companies Inc. (NYSE:EL)</t>
  </si>
  <si>
    <t>NYSE:EL</t>
  </si>
  <si>
    <t>Headquarters
767 Fifth Avenue 
New York, New York    10153
United States
Main Phone: 212 572 4200</t>
  </si>
  <si>
    <t>NYSE:GS</t>
  </si>
  <si>
    <t>Headquarters
200 West Street 
New York, New York    10282
United States
Main Phone: 212 902 1000</t>
  </si>
  <si>
    <t>NYSE:HIG</t>
  </si>
  <si>
    <t>Headquarters
One Hartford Plaza 
Hartford, Connecticut    06155
United States
Main Phone: (860) 547-5000</t>
  </si>
  <si>
    <t>NYSE:HSY</t>
  </si>
  <si>
    <t>Headquarters
19 East Chocolate Avenue 
Hershey, Pennsylvania    17033
United States
Main Phone: 717 534 4200
Main Fax: 717 534 7464</t>
  </si>
  <si>
    <t>NYSE:HD</t>
  </si>
  <si>
    <t>Headquarters
2455 Paces Ferry Road 
Atlanta, Georgia    30339
United States
Main Phone: 770 433 8211</t>
  </si>
  <si>
    <t>NYSE:SJM</t>
  </si>
  <si>
    <t>Headquarters
One Strawberry Lane 
Orrville, Ohio    44667-0280
United States
Main Phone: 330 682 3000</t>
  </si>
  <si>
    <t>NasdaqGS:KHC</t>
  </si>
  <si>
    <t>Headquarters
One PPG Place 
Pittsburgh, Pennsylvania    15222
United States
Main Phone: 412 456 5700</t>
  </si>
  <si>
    <t>NYSE:KR</t>
  </si>
  <si>
    <t>Headquarters
1014 Vine Street 
Cincinnati, Ohio    45202-1100
United States
Main Phone: 513 762 4000</t>
  </si>
  <si>
    <t>NYSE:MOS</t>
  </si>
  <si>
    <t>Headquarters
101 East Kennedy Blvd
Suite 2500 
Tampa, Florida    33602
United States
Main Phone: 800 918 8270</t>
  </si>
  <si>
    <t>NYSE:PNC</t>
  </si>
  <si>
    <t>Headquarters
The Tower at PNC Plaza
300 Fifth Avenue 
Pittsburgh, Pennsylvania    15222-2401
United States
Main Phone: 888 762 2265</t>
  </si>
  <si>
    <t>NYSE:PG</t>
  </si>
  <si>
    <t>Headquarters
One Procter &amp; Gamble Plaza 
Cincinnati, Ohio    45202
United States
Main Phone: 513 983 1100</t>
  </si>
  <si>
    <t>NYSE:PGR</t>
  </si>
  <si>
    <t>Headquarters
300 North Commons Blvd. 
Mayfield, Ohio    44143
United States
Main Phone: 440 461 5000</t>
  </si>
  <si>
    <t>NYSE:SHW</t>
  </si>
  <si>
    <t>Headquarters
1 Sherwin Way 
Cleveland, Ohio    44113-2206
United States
Main Phone: 216 566 2000</t>
  </si>
  <si>
    <t>NYSE:SO</t>
  </si>
  <si>
    <t>Headquarters
30 Ivan Allen Jr. Boulevard, NW 
Atlanta, Georgia    30308
United States
Main Phone: 404 506 5000</t>
  </si>
  <si>
    <t>NYSE:TJX</t>
  </si>
  <si>
    <t>Headquarters
770 Cochituate Road 
Framingham, Massachusetts    01701
United States
Main Phone: 508 390 1000</t>
  </si>
  <si>
    <t>NasdaqGM:TTD</t>
  </si>
  <si>
    <t>Headquarters
42 North Chestnut Street 
Ventura, California    93001
United States
Main Phone: 805 585 3434</t>
  </si>
  <si>
    <t>NYSE:TRV</t>
  </si>
  <si>
    <t>Headquarters
485 Lexington Avenue 
New York, New York    10017
United States
Main Phone: (917) 778-6000</t>
  </si>
  <si>
    <t>NYSE:DIS</t>
  </si>
  <si>
    <t>Headquarters
500 South Buena Vista Street 
Burbank, California    91521
United States
Main Phone: 818 560 1000</t>
  </si>
  <si>
    <t>NYSE:WMB</t>
  </si>
  <si>
    <t>Headquarters
One Williams Center
PO BOX 2400 
Tulsa, Oklahoma    74172
United States
Main Phone: 800-945-5426</t>
  </si>
  <si>
    <t>NYSE:TMO</t>
  </si>
  <si>
    <t>Headquarters
168 Third Avenue 
Waltham, Massachusetts    02451
United States
Main Phone: 781 622 1000</t>
  </si>
  <si>
    <t>NYSE:TKO</t>
  </si>
  <si>
    <t>Headquarters
200 Fifth Avenue
7th Floor 
New York, New York    10010
United States
Main Phone: 646 558 8333</t>
  </si>
  <si>
    <t>NasdaqGS:TSCO</t>
  </si>
  <si>
    <t>Headquarters
5401 Virginia Way 
Brentwood, Tennessee    37027
United States
Main Phone: 615 440 4000</t>
  </si>
  <si>
    <t>NYSE:TDG</t>
  </si>
  <si>
    <t>Headquarters
1350 Euclid Avenue
Suite 1600 
Cleveland, Ohio    44115
United States
Main Phone: 216 706 2960</t>
  </si>
  <si>
    <t>NasdaqGS:TRMB</t>
  </si>
  <si>
    <t>Headquarters
10368 Westmoor Drive 
Westminster, Colorado    80021
United States
Main Phone: 720 887 6100</t>
  </si>
  <si>
    <t>NYSE:TFC</t>
  </si>
  <si>
    <t>Headquarters
214 North Tryon Street 
Charlotte, North Carolina    28202
United States
Main Phone: 844 487 8478</t>
  </si>
  <si>
    <t>NYSE:TYL</t>
  </si>
  <si>
    <t>Headquarters
5101 Tennyson Parkway 
Plano, Texas    75024
United States
Main Phone: 972 713 3700</t>
  </si>
  <si>
    <t>NYSE:TSN</t>
  </si>
  <si>
    <t>Headquarters
2200 West Don Tyson Parkway 
Springdale, Arkansas    72762-6999
United States
Main Phone: (479) 290-4000</t>
  </si>
  <si>
    <t>NYSE:USB</t>
  </si>
  <si>
    <t>Headquarters
800 Nicollet Mall 
Minneapolis, Minnesota    55402
United States
Main Phone: 651-466-3000</t>
  </si>
  <si>
    <t>NYSE:UBER</t>
  </si>
  <si>
    <t>Headquarters
1725 3rd Street 
San Francisco, California    94158
United States
Main Phone: 415 612 8582</t>
  </si>
  <si>
    <t>NYSE:UDR</t>
  </si>
  <si>
    <t>Headquarters
1745 Shea Center Drive
Suite 200 
Highlands Ranch, Colorado    80129-1540
United States
Main Phone: 720 283 6120
Main Fax: 720 283 2453
Other Phone: 720 283 6135</t>
  </si>
  <si>
    <t>NasdaqGS:ULTA</t>
  </si>
  <si>
    <t>Headquarters
1000 Remington Boulevard
Suite 120 
Bolingbrook, Illinois    60440
United States
Main Phone: 630 410 4800</t>
  </si>
  <si>
    <t>NYSE:UNP</t>
  </si>
  <si>
    <t>Headquarters
1400 Douglas Street 
Omaha, Nebraska    68179
United States
Main Phone: 402 544 5000</t>
  </si>
  <si>
    <t>NasdaqGS:UAL</t>
  </si>
  <si>
    <t>Headquarters
233 South Wacker Drive 
Chicago, Illinois    60606
United States
Main Phone: 872 825 4000</t>
  </si>
  <si>
    <t>NYSE:UPS</t>
  </si>
  <si>
    <t>Headquarters
55 Glenlake Parkway, N.E. 
Atlanta, Georgia    30328
United States
Main Phone: 404 828 6000</t>
  </si>
  <si>
    <t>NYSE:URI</t>
  </si>
  <si>
    <t>Headquarters
100 First Stamford Place
Suite 700 
Stamford, Connecticut    06902
United States
Main Phone: 203 622 3131
Main Fax: 203 622 6080</t>
  </si>
  <si>
    <t>NYSE:UNH</t>
  </si>
  <si>
    <t>Headquarters
1 Health Drive 
Eden Prairie, Minnesota    55344
United States
Main Phone: (800)-328-5979</t>
  </si>
  <si>
    <t>NYSE:UHS</t>
  </si>
  <si>
    <t>Headquarters
Universal Corporate Center
367 South Gulph Road
PO Box 61558 
King of Prussia, Pennsylvania    19406-0958
United States
Main Phone: 610 768 3300</t>
  </si>
  <si>
    <t>NYSE:VLO</t>
  </si>
  <si>
    <t>Headquarters
One Valero Way 
San Antonio, Texas    78249
United States
Main Phone: 210 345 2000</t>
  </si>
  <si>
    <t>NYSE:VTR</t>
  </si>
  <si>
    <t>Headquarters
300 North LaSalle Street
Suite 1600 
Chicago, Illinois    60654
United States
Main Phone: 877 483 6827</t>
  </si>
  <si>
    <t>NYSE:VLTO</t>
  </si>
  <si>
    <t>Headquarters
225 Wyman Street
Suite 250 
Waltham, Massachusetts    02451
United States
Main Phone: 781 755 3655</t>
  </si>
  <si>
    <t>NasdaqGS:VRSN</t>
  </si>
  <si>
    <t>Headquarters
12061 Bluemont Way 
Reston, Virginia    20190
United States
Main Phone: 703 948 3200</t>
  </si>
  <si>
    <t>NasdaqGS:VRSK</t>
  </si>
  <si>
    <t>Headquarters
545 Washington Boulevard 
Jersey City, New Jersey    07310-1686
United States
Main Phone: 201 469 3000
Main Fax: 201 748 1472</t>
  </si>
  <si>
    <t>NYSE:VZ</t>
  </si>
  <si>
    <t>Headquarters
1095 Avenue of the Americas 
New York, New York    10036
United States
Main Phone: 212 395 1000</t>
  </si>
  <si>
    <t>NasdaqGS:VRTX</t>
  </si>
  <si>
    <t>Headquarters
50 Northern Avenue 
Boston, Massachusetts    02210
United States
Main Phone: 617 341 6100</t>
  </si>
  <si>
    <t>Vertiv Holdings Co (NYSE:VRT)</t>
  </si>
  <si>
    <t>NYSE:VRT</t>
  </si>
  <si>
    <t>Headquarters
505 N. Cleveland Ave. 
Westerville, Ohio    43082
United States
Main Phone: 614 888 0246
Main Fax: 614 841 6882</t>
  </si>
  <si>
    <t>NasdaqGS:VTRS</t>
  </si>
  <si>
    <t>Headquarters
Robert J. Coury Global Center
1000 Mylan Boulevard 
Canonsburg, Pennsylvania    15317
United States
Main Phone: 724 514 1800</t>
  </si>
  <si>
    <t>NYSE:VICI</t>
  </si>
  <si>
    <t>Headquarters
535 Madison Avenue
28th Floor 
New York, New York    10022-2203
United States
Main Phone: 646 949 4631</t>
  </si>
  <si>
    <t>NYSE:V</t>
  </si>
  <si>
    <t>Headquarters
P.O. Box 8999 
San Francisco, California    94128-8999
United States
Main Phone: 650 432 3200</t>
  </si>
  <si>
    <t>NYSE:VST</t>
  </si>
  <si>
    <t>Headquarters
6555 Sierra Drive 
Irving, Texas    75039
United States
Main Phone: 214 812 4600</t>
  </si>
  <si>
    <t>NYSE:VMC</t>
  </si>
  <si>
    <t>Headquarters
1200 Urban Center Drive 
Birmingham, Alabama    35242
United States
Main Phone: 205 298 3000</t>
  </si>
  <si>
    <t>NYSE:WRB</t>
  </si>
  <si>
    <t>Headquarters
475 Steamboat Road 
Greenwich, Connecticut    06830
United States
Main Phone: 203 629 3000
Main Fax: 203 769 4098</t>
  </si>
  <si>
    <t>NYSE:GWW</t>
  </si>
  <si>
    <t>Headquarters
100 Grainger Parkway 
Lake Forest, Illinois    60045-5201
United States
Main Phone: 847 535 1000</t>
  </si>
  <si>
    <t>NasdaqGS:WMT</t>
  </si>
  <si>
    <t>Headquarters
1 Customer Drive 
Bentonville, Arkansas    72716
United States
Main Phone: 479-273-4000</t>
  </si>
  <si>
    <t>NasdaqGS:WBD</t>
  </si>
  <si>
    <t>Headquarters
230 Park Avenue South 
New York, New York    10003
United States
Main Phone: 212 548 5555</t>
  </si>
  <si>
    <t>NYSE:WM</t>
  </si>
  <si>
    <t>Headquarters
800 Capitol Street
Suite 3000 
Houston, Texas    77002
United States
Main Phone: 713 512 6200</t>
  </si>
  <si>
    <t>NYSE:WAT</t>
  </si>
  <si>
    <t>Headquarters
34 Maple Street 
Milford, Massachusetts    01757
United States
Main Phone: 508 478 2000
Main Fax: 508 872 1990</t>
  </si>
  <si>
    <t>NYSE:WEC</t>
  </si>
  <si>
    <t>Headquarters
231 West Michigan Street
PO Box 1331 
Milwaukee, Wisconsin    53201
United States
Main Phone: 414 221 2345</t>
  </si>
  <si>
    <t>NYSE:WFC</t>
  </si>
  <si>
    <t>Headquarters
333 Market Street 
San Francisco, California    94105
United States
Main Phone: 415-371-2921</t>
  </si>
  <si>
    <t>NYSE:WELL</t>
  </si>
  <si>
    <t>Headquarters
4500 Dorr Street 
Toledo, Ohio    43615-4040
United States
Main Phone: 419 247 2800
Main Fax: 419 247 2826
Other Phone: 877 670 0070</t>
  </si>
  <si>
    <t>NYSE:WST</t>
  </si>
  <si>
    <t>Headquarters
530 Herman O. West Drive 
Exton, Pennsylvania    19341-1147
United States
Main Phone: 610 594 2900</t>
  </si>
  <si>
    <t>NasdaqGS:WDC</t>
  </si>
  <si>
    <t>Headquarters
5601 Great Oaks Parkway 
San Jose, California    95119
United States
Main Phone: 408 717 6000</t>
  </si>
  <si>
    <t>NYSE:WAB</t>
  </si>
  <si>
    <t>Headquarters
30 Isabella Street 
Pittsburgh, Pennsylvania    15212
United States
Main Phone: 412 825 1000
Main Fax: 412 825 1019</t>
  </si>
  <si>
    <t>NYSE:WY</t>
  </si>
  <si>
    <t>Headquarters
220 Occidental Avenue South 
Seattle, Washington    98104-7800
United States
Main Phone: 206 539 3000</t>
  </si>
  <si>
    <t>NYSE:WSM</t>
  </si>
  <si>
    <t>Headquarters
3250 Van Ness Avenue 
San Francisco, California    94109
United States
Main Phone: 415 421 7900</t>
  </si>
  <si>
    <t>NasdaqGS:WDAY</t>
  </si>
  <si>
    <t>Headquarters
6110 Stoneridge Mall Road 
Pleasanton, California    94588
United States
Main Phone: 925 951 9000
Main Fax: 925 951 9001</t>
  </si>
  <si>
    <t>NasdaqGS:WYNN</t>
  </si>
  <si>
    <t>Headquarters
3131 Las Vegas Boulevard South 
Las Vegas, Nevada    89109
United States
Main Phone: 702 770 7555</t>
  </si>
  <si>
    <t>NasdaqGS:XEL</t>
  </si>
  <si>
    <t>Headquarters
414 Nicollet Mall 
Minneapolis, Minnesota    55401
United States
Main Phone: 612 330 5500</t>
  </si>
  <si>
    <t>NYSE:XYL</t>
  </si>
  <si>
    <t>Headquarters
301 Water Street SE
Suite 200 
Washington, District Of Columbia    20003
United States
Main Phone: 202-869-9150</t>
  </si>
  <si>
    <t>NYSE:YUM</t>
  </si>
  <si>
    <t>Headquarters
1441 Gardiner Lane 
Louisville, Kentucky    40213
United States
Main Phone: 502 874 8300</t>
  </si>
  <si>
    <t>NasdaqGS:ZBRA</t>
  </si>
  <si>
    <t>Headquarters
3 Overlook Point 
Lincolnshire, Illinois    60069
United States
Main Phone: 847 634 6700</t>
  </si>
  <si>
    <t>NYSE:ZBH</t>
  </si>
  <si>
    <t>Headquarters
345 East Main Street 
Warsaw, Indiana    46580
United States
Main Phone: 574 373 3333</t>
  </si>
  <si>
    <t>NYSE:ZTS</t>
  </si>
  <si>
    <t>Headquarters
10 Sylvan Way 
Parsippany, New Jersey    07054
United States
Main Phone: 973 822 7000</t>
  </si>
  <si>
    <r>
      <rPr>
        <sz val="8"/>
        <color indexed="17"/>
        <rFont val="Arial"/>
        <family val="2"/>
      </rPr>
      <t>*</t>
    </r>
    <r>
      <rPr>
        <sz val="8"/>
        <color indexed="8"/>
        <rFont val="Arial"/>
        <family val="2"/>
      </rPr>
      <t>Denotes proprietary information.</t>
    </r>
  </si>
  <si>
    <t>*Contact your account manager to view historical North American ownership details.</t>
  </si>
  <si>
    <t>†Contact your account manager to view international ownership details.</t>
  </si>
  <si>
    <t>HQ</t>
  </si>
  <si>
    <t>California</t>
  </si>
  <si>
    <t>0</t>
  </si>
  <si>
    <t>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</si>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</sst>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x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3"/>
      <color indexed="8"/>
      <name val="Verdana"/>
      <family val="2"/>
    </font>
    <font>
      <sz val="8"/>
      <name val="Arial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17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21" fillId="33" borderId="0" applyAlignment="0"/>
    <xf numFmtId="0" fontId="22" fillId="0" borderId="0" applyAlignment="0"/>
  </cellStyleXfs>
  <cellXfs count="15">
    <xf numFmtId="0" fontId="0" fillId="0" borderId="0" xfId="0"/>
    <xf numFmtId="10" fontId="0" fillId="0" borderId="0" xfId="0" applyNumberFormat="1"/>
    <xf numFmtId="0" fontId="0" fillId="0" borderId="10" xfId="0" applyBorder="1"/>
    <xf numFmtId="10" fontId="0" fillId="0" borderId="10" xfId="0" applyNumberFormat="1" applyBorder="1"/>
    <xf numFmtId="164" fontId="0" fillId="0" borderId="0" xfId="0" applyNumberFormat="1"/>
    <xf numFmtId="0" fontId="16" fillId="0" borderId="10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8" fillId="0" borderId="0" xfId="42"/>
    <xf numFmtId="0" fontId="19" fillId="0" borderId="0" xfId="0" applyFont="1"/>
    <xf numFmtId="0" fontId="20" fillId="0" borderId="0" xfId="0" applyFont="1"/>
    <xf numFmtId="0" fontId="21" fillId="33" borderId="0" xfId="43" applyAlignment="1">
      <alignment horizontal="left" wrapText="1"/>
    </xf>
    <xf numFmtId="0" fontId="22" fillId="0" borderId="0" xfId="44" applyAlignment="1">
      <alignment horizontal="left" vertical="top" wrapText="1"/>
    </xf>
    <xf numFmtId="0" fontId="20" fillId="0" borderId="0" xfId="0" applyFont="1" applyAlignment="1">
      <alignment vertical="top" wrapText="1"/>
    </xf>
    <xf numFmtId="0" fontId="23" fillId="0" borderId="0" xfId="0" applyFont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lumnHeaderNormal" xfId="43" xr:uid="{8A3D8C33-C0E1-47BF-ABB1-88BFEC4B409E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extNormal" xfId="44" xr:uid="{8D3DAA9F-2456-4536-A7AE-B33281E76D34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1417320</xdr:colOff>
      <xdr:row>1</xdr:row>
      <xdr:rowOff>91440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E0100C0-BE1B-4CF0-8D8E-4F056076E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1732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List_of_chief_executive_officers" TargetMode="External"/><Relationship Id="rId2" Type="http://schemas.openxmlformats.org/officeDocument/2006/relationships/hyperlink" Target="https://www.50pros.com/fortune500" TargetMode="External"/><Relationship Id="rId1" Type="http://schemas.openxmlformats.org/officeDocument/2006/relationships/hyperlink" Target="https://research.com/careers/female-ceos-of-the-sp-500" TargetMode="External"/><Relationship Id="rId4" Type="http://schemas.openxmlformats.org/officeDocument/2006/relationships/hyperlink" Target="https://en.wikipedia.org/wiki/List_of_women_CEOs_of_Fortune_500_compan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B89E5-591A-435C-94EE-D8680B23D24B}">
  <dimension ref="A1:U481"/>
  <sheetViews>
    <sheetView tabSelected="1" topLeftCell="O337" workbookViewId="0">
      <selection activeCell="U478" sqref="U478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1956</v>
      </c>
      <c r="N1" t="s">
        <v>2925</v>
      </c>
      <c r="O1" t="s">
        <v>2926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 spans="1:21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0</v>
      </c>
      <c r="H2">
        <v>60500</v>
      </c>
      <c r="J2" t="s">
        <v>24</v>
      </c>
      <c r="K2">
        <v>0</v>
      </c>
      <c r="L2">
        <v>1902</v>
      </c>
      <c r="M2">
        <v>124</v>
      </c>
      <c r="N2" t="s">
        <v>1962</v>
      </c>
      <c r="O2" t="s">
        <v>2927</v>
      </c>
      <c r="P2">
        <v>87074</v>
      </c>
      <c r="Q2">
        <v>92318</v>
      </c>
      <c r="R2">
        <v>6016</v>
      </c>
      <c r="S2">
        <v>15.345412234042554</v>
      </c>
      <c r="T2">
        <v>24948</v>
      </c>
      <c r="U2">
        <v>0.24110000000000001</v>
      </c>
    </row>
    <row r="3" spans="1:21" x14ac:dyDescent="0.3">
      <c r="A3" t="s">
        <v>25</v>
      </c>
      <c r="B3" t="s">
        <v>26</v>
      </c>
      <c r="C3" t="s">
        <v>20</v>
      </c>
      <c r="D3" t="s">
        <v>27</v>
      </c>
      <c r="E3" t="s">
        <v>22</v>
      </c>
      <c r="F3" t="s">
        <v>28</v>
      </c>
      <c r="G3">
        <v>0</v>
      </c>
      <c r="H3">
        <v>11500</v>
      </c>
      <c r="J3" t="s">
        <v>29</v>
      </c>
      <c r="K3">
        <v>0</v>
      </c>
      <c r="L3">
        <v>1874</v>
      </c>
      <c r="M3">
        <v>152</v>
      </c>
      <c r="N3" t="s">
        <v>1964</v>
      </c>
      <c r="O3" t="s">
        <v>2927</v>
      </c>
      <c r="P3">
        <v>10786.6</v>
      </c>
      <c r="Q3">
        <v>10797.3</v>
      </c>
      <c r="R3">
        <v>813.1</v>
      </c>
      <c r="S3">
        <v>13.279178452834829</v>
      </c>
      <c r="T3">
        <v>3830.2</v>
      </c>
      <c r="U3">
        <v>0.21229999999999999</v>
      </c>
    </row>
    <row r="4" spans="1:21" x14ac:dyDescent="0.3">
      <c r="A4" t="s">
        <v>30</v>
      </c>
      <c r="B4" t="s">
        <v>31</v>
      </c>
      <c r="C4" t="s">
        <v>20</v>
      </c>
      <c r="D4" t="s">
        <v>32</v>
      </c>
      <c r="E4" t="s">
        <v>22</v>
      </c>
      <c r="F4" t="s">
        <v>33</v>
      </c>
      <c r="G4">
        <v>0</v>
      </c>
      <c r="H4">
        <v>115000</v>
      </c>
      <c r="J4" t="s">
        <v>34</v>
      </c>
      <c r="K4">
        <v>0</v>
      </c>
      <c r="L4">
        <v>1888</v>
      </c>
      <c r="M4">
        <v>138</v>
      </c>
      <c r="N4" t="s">
        <v>1966</v>
      </c>
      <c r="O4" t="s">
        <v>2927</v>
      </c>
      <c r="P4">
        <v>202179.4</v>
      </c>
      <c r="Q4">
        <v>208017.4</v>
      </c>
      <c r="R4">
        <v>12033</v>
      </c>
      <c r="S4">
        <v>17.287243413944985</v>
      </c>
      <c r="T4">
        <v>44328</v>
      </c>
      <c r="U4">
        <v>0.27150000000000002</v>
      </c>
    </row>
    <row r="5" spans="1:21" x14ac:dyDescent="0.3">
      <c r="A5" t="s">
        <v>35</v>
      </c>
      <c r="B5" t="s">
        <v>36</v>
      </c>
      <c r="C5" t="s">
        <v>20</v>
      </c>
      <c r="D5" t="s">
        <v>37</v>
      </c>
      <c r="E5" t="s">
        <v>22</v>
      </c>
      <c r="F5" t="s">
        <v>33</v>
      </c>
      <c r="G5">
        <v>0</v>
      </c>
      <c r="H5">
        <v>57000</v>
      </c>
      <c r="J5" t="s">
        <v>38</v>
      </c>
      <c r="K5">
        <v>0</v>
      </c>
      <c r="L5">
        <v>2012</v>
      </c>
      <c r="M5">
        <v>14</v>
      </c>
      <c r="N5" t="s">
        <v>1968</v>
      </c>
      <c r="O5" t="s">
        <v>2927</v>
      </c>
      <c r="P5">
        <v>410356.7</v>
      </c>
      <c r="Q5">
        <v>473541.7</v>
      </c>
      <c r="R5">
        <v>29254</v>
      </c>
      <c r="S5">
        <v>16.187246188555413</v>
      </c>
      <c r="T5">
        <v>61160</v>
      </c>
      <c r="U5">
        <v>0.4783</v>
      </c>
    </row>
    <row r="6" spans="1:21" x14ac:dyDescent="0.3">
      <c r="A6" t="s">
        <v>39</v>
      </c>
      <c r="B6" t="s">
        <v>40</v>
      </c>
      <c r="C6" t="s">
        <v>41</v>
      </c>
      <c r="D6" t="s">
        <v>42</v>
      </c>
      <c r="E6" t="s">
        <v>22</v>
      </c>
      <c r="F6" t="s">
        <v>43</v>
      </c>
      <c r="G6">
        <v>0</v>
      </c>
      <c r="H6">
        <v>31360</v>
      </c>
      <c r="J6" t="s">
        <v>44</v>
      </c>
      <c r="K6">
        <v>0</v>
      </c>
      <c r="L6">
        <v>1982</v>
      </c>
      <c r="M6">
        <v>44</v>
      </c>
      <c r="N6" t="s">
        <v>1970</v>
      </c>
      <c r="O6" t="s">
        <v>2928</v>
      </c>
      <c r="P6">
        <v>106968</v>
      </c>
      <c r="Q6">
        <v>107027</v>
      </c>
      <c r="R6">
        <v>9242</v>
      </c>
      <c r="S6">
        <v>11.580502055832071</v>
      </c>
      <c r="T6">
        <v>23769</v>
      </c>
      <c r="U6">
        <v>0.38879999999999998</v>
      </c>
    </row>
    <row r="7" spans="1:21" x14ac:dyDescent="0.3">
      <c r="A7" t="s">
        <v>45</v>
      </c>
      <c r="B7" t="s">
        <v>46</v>
      </c>
      <c r="C7" t="s">
        <v>41</v>
      </c>
      <c r="D7" t="s">
        <v>47</v>
      </c>
      <c r="E7" t="s">
        <v>22</v>
      </c>
      <c r="F7" t="s">
        <v>43</v>
      </c>
      <c r="G7">
        <v>0</v>
      </c>
      <c r="H7">
        <v>31000</v>
      </c>
      <c r="I7" t="s">
        <v>48</v>
      </c>
      <c r="J7" t="s">
        <v>49</v>
      </c>
      <c r="K7">
        <v>1</v>
      </c>
      <c r="L7">
        <v>1969</v>
      </c>
      <c r="M7">
        <v>57</v>
      </c>
      <c r="N7" t="s">
        <v>1972</v>
      </c>
      <c r="O7" t="s">
        <v>2928</v>
      </c>
      <c r="P7">
        <v>326424.59999999998</v>
      </c>
      <c r="Q7">
        <v>319878.59999999998</v>
      </c>
      <c r="R7">
        <v>6745</v>
      </c>
      <c r="S7">
        <v>47.424551519644176</v>
      </c>
      <c r="T7">
        <v>34639</v>
      </c>
      <c r="U7">
        <v>0.19470000000000001</v>
      </c>
    </row>
    <row r="8" spans="1:21" x14ac:dyDescent="0.3">
      <c r="A8" t="s">
        <v>50</v>
      </c>
      <c r="B8" t="s">
        <v>51</v>
      </c>
      <c r="C8" t="s">
        <v>20</v>
      </c>
      <c r="D8" t="s">
        <v>52</v>
      </c>
      <c r="E8" t="s">
        <v>22</v>
      </c>
      <c r="F8" t="s">
        <v>53</v>
      </c>
      <c r="G8">
        <v>1</v>
      </c>
      <c r="H8">
        <v>12716</v>
      </c>
      <c r="J8" t="s">
        <v>54</v>
      </c>
      <c r="K8">
        <v>0</v>
      </c>
      <c r="L8">
        <v>1955</v>
      </c>
      <c r="M8">
        <v>71</v>
      </c>
      <c r="N8" t="s">
        <v>1974</v>
      </c>
      <c r="O8" t="s">
        <v>2927</v>
      </c>
      <c r="P8">
        <v>58313.599999999999</v>
      </c>
      <c r="Q8">
        <v>64655.6</v>
      </c>
      <c r="R8">
        <v>4789</v>
      </c>
      <c r="S8">
        <v>13.500856128628106</v>
      </c>
      <c r="T8">
        <v>17164</v>
      </c>
      <c r="U8">
        <v>0.27900000000000003</v>
      </c>
    </row>
    <row r="9" spans="1:21" x14ac:dyDescent="0.3">
      <c r="A9" t="s">
        <v>55</v>
      </c>
      <c r="B9" t="s">
        <v>56</v>
      </c>
      <c r="C9" t="s">
        <v>20</v>
      </c>
      <c r="D9" t="s">
        <v>57</v>
      </c>
      <c r="E9" t="s">
        <v>22</v>
      </c>
      <c r="F9" t="s">
        <v>33</v>
      </c>
      <c r="G9">
        <v>0</v>
      </c>
      <c r="H9">
        <v>18000</v>
      </c>
      <c r="J9" t="s">
        <v>58</v>
      </c>
      <c r="K9">
        <v>0</v>
      </c>
      <c r="L9">
        <v>1999</v>
      </c>
      <c r="M9">
        <v>27</v>
      </c>
      <c r="N9" t="s">
        <v>1976</v>
      </c>
      <c r="O9" t="s">
        <v>2928</v>
      </c>
      <c r="P9">
        <v>34313.599999999999</v>
      </c>
      <c r="Q9">
        <v>35909.599999999999</v>
      </c>
      <c r="R9">
        <v>1928</v>
      </c>
      <c r="S9">
        <v>18.625311203319502</v>
      </c>
      <c r="T9">
        <v>7065</v>
      </c>
      <c r="U9">
        <v>0.27289999999999998</v>
      </c>
    </row>
    <row r="10" spans="1:21" x14ac:dyDescent="0.3">
      <c r="A10" t="s">
        <v>59</v>
      </c>
      <c r="B10" t="s">
        <v>60</v>
      </c>
      <c r="C10" t="s">
        <v>20</v>
      </c>
      <c r="D10" t="s">
        <v>61</v>
      </c>
      <c r="E10" t="s">
        <v>22</v>
      </c>
      <c r="F10" t="s">
        <v>62</v>
      </c>
      <c r="G10">
        <v>0</v>
      </c>
      <c r="H10">
        <v>21194</v>
      </c>
      <c r="J10" t="s">
        <v>63</v>
      </c>
      <c r="K10">
        <v>0</v>
      </c>
      <c r="L10">
        <v>1940</v>
      </c>
      <c r="M10">
        <v>86</v>
      </c>
      <c r="N10" t="s">
        <v>1978</v>
      </c>
      <c r="O10" t="s">
        <v>2927</v>
      </c>
      <c r="P10">
        <v>61379.6</v>
      </c>
      <c r="Q10">
        <v>80965.8</v>
      </c>
      <c r="R10">
        <v>849.8</v>
      </c>
      <c r="S10">
        <v>95.276300305954351</v>
      </c>
      <c r="T10">
        <v>12208.3</v>
      </c>
      <c r="U10">
        <v>6.9599999999999995E-2</v>
      </c>
    </row>
    <row r="11" spans="1:21" x14ac:dyDescent="0.3">
      <c r="A11" t="s">
        <v>64</v>
      </c>
      <c r="B11" t="s">
        <v>65</v>
      </c>
      <c r="C11" t="s">
        <v>41</v>
      </c>
      <c r="D11" t="s">
        <v>66</v>
      </c>
      <c r="E11" t="s">
        <v>22</v>
      </c>
      <c r="F11" t="s">
        <v>67</v>
      </c>
      <c r="G11">
        <v>0</v>
      </c>
      <c r="H11">
        <v>8200</v>
      </c>
      <c r="J11" t="s">
        <v>68</v>
      </c>
      <c r="K11">
        <v>0</v>
      </c>
      <c r="L11">
        <v>2007</v>
      </c>
      <c r="M11">
        <v>19</v>
      </c>
      <c r="N11" t="s">
        <v>1980</v>
      </c>
      <c r="O11" t="s">
        <v>2928</v>
      </c>
      <c r="P11">
        <v>81000.3</v>
      </c>
      <c r="Q11">
        <v>72257.3</v>
      </c>
      <c r="R11">
        <v>2574</v>
      </c>
      <c r="S11">
        <v>28.071989121989123</v>
      </c>
      <c r="T11">
        <v>12241</v>
      </c>
      <c r="U11">
        <v>0.21029999999999999</v>
      </c>
    </row>
    <row r="12" spans="1:21" x14ac:dyDescent="0.3">
      <c r="A12" t="s">
        <v>69</v>
      </c>
      <c r="B12" t="s">
        <v>70</v>
      </c>
      <c r="C12" t="s">
        <v>41</v>
      </c>
      <c r="D12" t="s">
        <v>71</v>
      </c>
      <c r="E12" t="s">
        <v>22</v>
      </c>
      <c r="F12" t="s">
        <v>43</v>
      </c>
      <c r="G12">
        <v>0</v>
      </c>
      <c r="H12">
        <v>11000</v>
      </c>
      <c r="J12" t="s">
        <v>72</v>
      </c>
      <c r="K12">
        <v>0</v>
      </c>
      <c r="L12">
        <v>1998</v>
      </c>
      <c r="M12">
        <v>28</v>
      </c>
      <c r="N12" t="s">
        <v>1982</v>
      </c>
      <c r="O12" t="s">
        <v>2927</v>
      </c>
      <c r="P12">
        <v>14255.5</v>
      </c>
      <c r="Q12">
        <v>18011.2</v>
      </c>
      <c r="R12">
        <v>1180.9000000000001</v>
      </c>
      <c r="S12">
        <v>15.252095859090524</v>
      </c>
      <c r="T12">
        <v>4208.2</v>
      </c>
      <c r="U12">
        <v>0.28060000000000002</v>
      </c>
    </row>
    <row r="13" spans="1:21" x14ac:dyDescent="0.3">
      <c r="A13" t="s">
        <v>73</v>
      </c>
      <c r="B13" t="s">
        <v>74</v>
      </c>
      <c r="C13" t="s">
        <v>20</v>
      </c>
      <c r="D13" t="s">
        <v>75</v>
      </c>
      <c r="E13" t="s">
        <v>22</v>
      </c>
      <c r="F13" t="s">
        <v>62</v>
      </c>
      <c r="G13">
        <v>0</v>
      </c>
      <c r="H13">
        <v>7800</v>
      </c>
      <c r="J13" t="s">
        <v>76</v>
      </c>
      <c r="K13">
        <v>0</v>
      </c>
      <c r="L13">
        <v>1887</v>
      </c>
      <c r="M13">
        <v>139</v>
      </c>
      <c r="N13" t="s">
        <v>1984</v>
      </c>
      <c r="O13" t="s">
        <v>2927</v>
      </c>
      <c r="P13">
        <v>21055.8</v>
      </c>
      <c r="Q13">
        <v>25177.9</v>
      </c>
      <c r="R13">
        <v>737.8</v>
      </c>
      <c r="S13">
        <v>34.125643805909462</v>
      </c>
      <c r="T13">
        <v>5142.7</v>
      </c>
      <c r="U13">
        <v>0.14349999999999999</v>
      </c>
    </row>
    <row r="14" spans="1:21" x14ac:dyDescent="0.3">
      <c r="A14" t="s">
        <v>77</v>
      </c>
      <c r="B14" t="s">
        <v>78</v>
      </c>
      <c r="C14" t="s">
        <v>20</v>
      </c>
      <c r="D14" t="s">
        <v>79</v>
      </c>
      <c r="E14" t="s">
        <v>22</v>
      </c>
      <c r="F14" t="s">
        <v>80</v>
      </c>
      <c r="G14">
        <v>0</v>
      </c>
      <c r="H14">
        <v>514</v>
      </c>
      <c r="J14" t="s">
        <v>81</v>
      </c>
      <c r="K14">
        <v>0</v>
      </c>
      <c r="L14">
        <v>1994</v>
      </c>
      <c r="M14">
        <v>32</v>
      </c>
      <c r="N14" t="s">
        <v>1986</v>
      </c>
      <c r="O14" t="s">
        <v>2928</v>
      </c>
      <c r="P14">
        <v>9365.2000000000007</v>
      </c>
      <c r="Q14">
        <v>25263.599999999999</v>
      </c>
      <c r="R14">
        <v>1939.5</v>
      </c>
      <c r="S14">
        <v>13.02583139984532</v>
      </c>
      <c r="T14">
        <v>3016.9</v>
      </c>
      <c r="U14">
        <v>0.64290000000000003</v>
      </c>
    </row>
    <row r="15" spans="1:21" x14ac:dyDescent="0.3">
      <c r="A15" t="s">
        <v>82</v>
      </c>
      <c r="B15" t="s">
        <v>83</v>
      </c>
      <c r="C15" t="s">
        <v>41</v>
      </c>
      <c r="D15" t="s">
        <v>84</v>
      </c>
      <c r="E15" t="s">
        <v>22</v>
      </c>
      <c r="F15" t="s">
        <v>33</v>
      </c>
      <c r="G15">
        <v>0</v>
      </c>
      <c r="H15">
        <v>21065</v>
      </c>
      <c r="J15" t="s">
        <v>85</v>
      </c>
      <c r="K15">
        <v>0</v>
      </c>
      <c r="L15">
        <v>1997</v>
      </c>
      <c r="M15">
        <v>29</v>
      </c>
      <c r="N15" t="s">
        <v>1988</v>
      </c>
      <c r="O15" t="s">
        <v>2927</v>
      </c>
      <c r="P15">
        <v>13550.7</v>
      </c>
      <c r="Q15">
        <v>12570.3</v>
      </c>
      <c r="R15">
        <v>851.3</v>
      </c>
      <c r="S15">
        <v>14.766004933630917</v>
      </c>
      <c r="T15">
        <v>4035</v>
      </c>
      <c r="U15">
        <v>0.21099999999999999</v>
      </c>
    </row>
    <row r="16" spans="1:21" x14ac:dyDescent="0.3">
      <c r="A16" t="s">
        <v>86</v>
      </c>
      <c r="B16" t="s">
        <v>87</v>
      </c>
      <c r="C16" t="s">
        <v>41</v>
      </c>
      <c r="D16" t="s">
        <v>88</v>
      </c>
      <c r="E16" t="s">
        <v>22</v>
      </c>
      <c r="F16" t="s">
        <v>89</v>
      </c>
      <c r="G16">
        <v>0</v>
      </c>
      <c r="H16">
        <v>2948</v>
      </c>
      <c r="I16" t="s">
        <v>90</v>
      </c>
      <c r="J16" t="s">
        <v>90</v>
      </c>
      <c r="K16">
        <v>1</v>
      </c>
      <c r="L16" t="s">
        <v>91</v>
      </c>
      <c r="M16" t="e">
        <v>#VALUE!</v>
      </c>
      <c r="N16" t="s">
        <v>1990</v>
      </c>
      <c r="O16" t="s">
        <v>2927</v>
      </c>
      <c r="P16">
        <v>18601.599999999999</v>
      </c>
      <c r="Q16">
        <v>30372.6</v>
      </c>
      <c r="R16">
        <v>1852</v>
      </c>
      <c r="S16">
        <v>16.399892008639309</v>
      </c>
      <c r="T16">
        <v>4362</v>
      </c>
      <c r="U16">
        <v>0.42459999999999998</v>
      </c>
    </row>
    <row r="17" spans="1:21" x14ac:dyDescent="0.3">
      <c r="A17" t="s">
        <v>92</v>
      </c>
      <c r="B17" t="s">
        <v>93</v>
      </c>
      <c r="C17" t="s">
        <v>41</v>
      </c>
      <c r="D17" t="s">
        <v>94</v>
      </c>
      <c r="E17" t="s">
        <v>22</v>
      </c>
      <c r="F17" t="s">
        <v>95</v>
      </c>
      <c r="G17">
        <v>0</v>
      </c>
      <c r="H17">
        <v>190820</v>
      </c>
      <c r="J17" t="s">
        <v>96</v>
      </c>
      <c r="K17">
        <v>0</v>
      </c>
      <c r="L17">
        <v>1998</v>
      </c>
      <c r="M17">
        <v>28</v>
      </c>
      <c r="N17" t="s">
        <v>1993</v>
      </c>
      <c r="O17" t="s">
        <v>2928</v>
      </c>
      <c r="P17">
        <v>3769566.2</v>
      </c>
      <c r="Q17">
        <v>3709719.2</v>
      </c>
      <c r="R17">
        <v>150175</v>
      </c>
      <c r="S17">
        <v>24.702641584817712</v>
      </c>
      <c r="T17">
        <v>402836</v>
      </c>
      <c r="U17">
        <v>0.37280000000000002</v>
      </c>
    </row>
    <row r="18" spans="1:21" x14ac:dyDescent="0.3">
      <c r="A18" t="s">
        <v>97</v>
      </c>
      <c r="B18" t="s">
        <v>98</v>
      </c>
      <c r="C18" t="s">
        <v>20</v>
      </c>
      <c r="D18" t="s">
        <v>99</v>
      </c>
      <c r="E18" t="s">
        <v>22</v>
      </c>
      <c r="F18" t="s">
        <v>100</v>
      </c>
      <c r="G18">
        <v>0</v>
      </c>
      <c r="H18">
        <v>5900</v>
      </c>
      <c r="J18" t="s">
        <v>101</v>
      </c>
      <c r="K18">
        <v>0</v>
      </c>
      <c r="L18">
        <v>1822</v>
      </c>
      <c r="M18">
        <v>204</v>
      </c>
      <c r="N18" t="s">
        <v>1995</v>
      </c>
      <c r="O18" t="s">
        <v>2927</v>
      </c>
      <c r="P18">
        <v>115427.8</v>
      </c>
      <c r="Q18">
        <v>136712.79999999999</v>
      </c>
      <c r="R18">
        <v>12582</v>
      </c>
      <c r="S18">
        <v>10.865744714671752</v>
      </c>
      <c r="T18">
        <v>20139</v>
      </c>
      <c r="U18">
        <v>0.62480000000000002</v>
      </c>
    </row>
    <row r="19" spans="1:21" x14ac:dyDescent="0.3">
      <c r="A19" t="s">
        <v>102</v>
      </c>
      <c r="B19" t="s">
        <v>103</v>
      </c>
      <c r="C19" t="s">
        <v>41</v>
      </c>
      <c r="D19" t="s">
        <v>104</v>
      </c>
      <c r="E19" t="s">
        <v>22</v>
      </c>
      <c r="F19" t="s">
        <v>67</v>
      </c>
      <c r="G19">
        <v>0</v>
      </c>
      <c r="H19">
        <v>1576000</v>
      </c>
      <c r="J19" t="s">
        <v>105</v>
      </c>
      <c r="K19">
        <v>0</v>
      </c>
      <c r="L19">
        <v>1994</v>
      </c>
      <c r="M19">
        <v>32</v>
      </c>
      <c r="N19" t="s">
        <v>1997</v>
      </c>
      <c r="O19" t="s">
        <v>2927</v>
      </c>
      <c r="P19">
        <v>2254333.4</v>
      </c>
      <c r="Q19">
        <v>2309851.4</v>
      </c>
      <c r="R19">
        <v>145731</v>
      </c>
      <c r="S19">
        <v>15.850103272467765</v>
      </c>
      <c r="T19">
        <v>716924</v>
      </c>
      <c r="U19">
        <v>0.20330000000000001</v>
      </c>
    </row>
    <row r="20" spans="1:21" x14ac:dyDescent="0.3">
      <c r="A20" t="s">
        <v>106</v>
      </c>
      <c r="B20" t="s">
        <v>107</v>
      </c>
      <c r="C20" t="s">
        <v>20</v>
      </c>
      <c r="D20" t="s">
        <v>108</v>
      </c>
      <c r="E20" t="s">
        <v>22</v>
      </c>
      <c r="F20" t="s">
        <v>89</v>
      </c>
      <c r="G20">
        <v>0</v>
      </c>
      <c r="H20">
        <v>8913</v>
      </c>
      <c r="J20" t="s">
        <v>109</v>
      </c>
      <c r="K20">
        <v>0</v>
      </c>
      <c r="L20">
        <v>1881</v>
      </c>
      <c r="M20">
        <v>145</v>
      </c>
      <c r="N20" t="s">
        <v>1999</v>
      </c>
      <c r="O20" t="s">
        <v>2927</v>
      </c>
      <c r="P20">
        <v>31313.4</v>
      </c>
      <c r="Q20">
        <v>51335.4</v>
      </c>
      <c r="R20">
        <v>3719</v>
      </c>
      <c r="S20">
        <v>13.803549341220759</v>
      </c>
      <c r="T20">
        <v>8470</v>
      </c>
      <c r="U20">
        <v>0.43909999999999999</v>
      </c>
    </row>
    <row r="21" spans="1:21" x14ac:dyDescent="0.3">
      <c r="A21" t="s">
        <v>110</v>
      </c>
      <c r="B21" t="s">
        <v>111</v>
      </c>
      <c r="C21" t="s">
        <v>41</v>
      </c>
      <c r="D21" t="s">
        <v>112</v>
      </c>
      <c r="E21" t="s">
        <v>22</v>
      </c>
      <c r="F21" t="s">
        <v>89</v>
      </c>
      <c r="G21">
        <v>0</v>
      </c>
      <c r="H21">
        <v>17581</v>
      </c>
      <c r="J21" t="s">
        <v>113</v>
      </c>
      <c r="K21">
        <v>0</v>
      </c>
      <c r="L21">
        <v>1906</v>
      </c>
      <c r="M21">
        <v>120</v>
      </c>
      <c r="N21" t="s">
        <v>2001</v>
      </c>
      <c r="O21" t="s">
        <v>2927</v>
      </c>
      <c r="P21">
        <v>72378.100000000006</v>
      </c>
      <c r="Q21">
        <v>122733.1</v>
      </c>
      <c r="R21">
        <v>8957</v>
      </c>
      <c r="S21">
        <v>13.702478508429163</v>
      </c>
      <c r="T21">
        <v>21876</v>
      </c>
      <c r="U21">
        <v>0.40939999999999999</v>
      </c>
    </row>
    <row r="22" spans="1:21" x14ac:dyDescent="0.3">
      <c r="A22" t="s">
        <v>114</v>
      </c>
      <c r="B22" t="s">
        <v>115</v>
      </c>
      <c r="C22" t="s">
        <v>20</v>
      </c>
      <c r="D22" t="s">
        <v>116</v>
      </c>
      <c r="E22" t="s">
        <v>22</v>
      </c>
      <c r="F22" t="s">
        <v>53</v>
      </c>
      <c r="G22">
        <v>1</v>
      </c>
      <c r="H22">
        <v>76800</v>
      </c>
      <c r="J22" t="s">
        <v>117</v>
      </c>
      <c r="K22">
        <v>0</v>
      </c>
      <c r="L22">
        <v>1850</v>
      </c>
      <c r="M22">
        <v>176</v>
      </c>
      <c r="N22" t="s">
        <v>2003</v>
      </c>
      <c r="O22" t="s">
        <v>2927</v>
      </c>
      <c r="P22">
        <v>212095.1</v>
      </c>
      <c r="Q22" t="s">
        <v>91</v>
      </c>
      <c r="R22">
        <v>0</v>
      </c>
      <c r="S22" t="e">
        <v>#VALUE!</v>
      </c>
      <c r="T22">
        <v>66973</v>
      </c>
      <c r="U22">
        <v>0</v>
      </c>
    </row>
    <row r="23" spans="1:21" x14ac:dyDescent="0.3">
      <c r="A23" t="s">
        <v>118</v>
      </c>
      <c r="B23" t="s">
        <v>119</v>
      </c>
      <c r="C23" t="s">
        <v>20</v>
      </c>
      <c r="D23" t="s">
        <v>120</v>
      </c>
      <c r="E23" t="s">
        <v>22</v>
      </c>
      <c r="F23" t="s">
        <v>53</v>
      </c>
      <c r="G23">
        <v>1</v>
      </c>
      <c r="H23">
        <v>22100</v>
      </c>
      <c r="J23" t="s">
        <v>121</v>
      </c>
      <c r="K23">
        <v>0</v>
      </c>
      <c r="L23">
        <v>1919</v>
      </c>
      <c r="M23">
        <v>107</v>
      </c>
      <c r="N23" t="s">
        <v>2005</v>
      </c>
      <c r="O23" t="s">
        <v>2927</v>
      </c>
      <c r="P23">
        <v>43187.7</v>
      </c>
      <c r="Q23">
        <v>51983.7</v>
      </c>
      <c r="R23">
        <v>7920</v>
      </c>
      <c r="S23">
        <v>6.5635984848484847</v>
      </c>
      <c r="T23">
        <v>26611</v>
      </c>
      <c r="U23">
        <v>0.29759999999999998</v>
      </c>
    </row>
    <row r="24" spans="1:21" x14ac:dyDescent="0.3">
      <c r="A24" t="s">
        <v>122</v>
      </c>
      <c r="B24" t="s">
        <v>123</v>
      </c>
      <c r="C24" t="s">
        <v>20</v>
      </c>
      <c r="D24" t="s">
        <v>124</v>
      </c>
      <c r="E24" t="s">
        <v>22</v>
      </c>
      <c r="F24" t="s">
        <v>80</v>
      </c>
      <c r="G24">
        <v>0</v>
      </c>
      <c r="H24">
        <v>4866</v>
      </c>
      <c r="J24" t="s">
        <v>125</v>
      </c>
      <c r="K24">
        <v>0</v>
      </c>
      <c r="L24">
        <v>1995</v>
      </c>
      <c r="M24">
        <v>31</v>
      </c>
      <c r="N24" t="s">
        <v>2007</v>
      </c>
      <c r="O24" t="s">
        <v>2927</v>
      </c>
      <c r="P24">
        <v>89423</v>
      </c>
      <c r="Q24">
        <v>139614.9</v>
      </c>
      <c r="R24">
        <v>6907.7</v>
      </c>
      <c r="S24">
        <v>20.211488628631816</v>
      </c>
      <c r="T24">
        <v>10644.6</v>
      </c>
      <c r="U24">
        <v>0.64890000000000003</v>
      </c>
    </row>
    <row r="25" spans="1:21" x14ac:dyDescent="0.3">
      <c r="A25" t="s">
        <v>126</v>
      </c>
      <c r="B25" t="s">
        <v>127</v>
      </c>
      <c r="C25" t="s">
        <v>20</v>
      </c>
      <c r="D25" t="s">
        <v>128</v>
      </c>
      <c r="E25" t="s">
        <v>22</v>
      </c>
      <c r="F25" t="s">
        <v>89</v>
      </c>
      <c r="G25">
        <v>0</v>
      </c>
      <c r="H25">
        <v>7000</v>
      </c>
      <c r="I25" t="s">
        <v>129</v>
      </c>
      <c r="J25" t="s">
        <v>129</v>
      </c>
      <c r="K25">
        <v>1</v>
      </c>
      <c r="L25">
        <v>1886</v>
      </c>
      <c r="M25">
        <v>140</v>
      </c>
      <c r="N25" t="s">
        <v>2009</v>
      </c>
      <c r="O25" t="s">
        <v>2927</v>
      </c>
      <c r="P25">
        <v>26554.2</v>
      </c>
      <c r="Q25">
        <v>42330.2</v>
      </c>
      <c r="R25">
        <v>2789</v>
      </c>
      <c r="S25">
        <v>15.177554679096449</v>
      </c>
      <c r="T25">
        <v>5140</v>
      </c>
      <c r="U25">
        <v>0.54259999999999997</v>
      </c>
    </row>
    <row r="26" spans="1:21" x14ac:dyDescent="0.3">
      <c r="A26" t="s">
        <v>130</v>
      </c>
      <c r="B26" t="s">
        <v>131</v>
      </c>
      <c r="C26" t="s">
        <v>20</v>
      </c>
      <c r="D26" t="s">
        <v>132</v>
      </c>
      <c r="E26" t="s">
        <v>22</v>
      </c>
      <c r="F26" t="s">
        <v>53</v>
      </c>
      <c r="G26">
        <v>1</v>
      </c>
      <c r="H26">
        <v>13600</v>
      </c>
      <c r="J26" t="s">
        <v>133</v>
      </c>
      <c r="K26">
        <v>0</v>
      </c>
      <c r="L26">
        <v>1894</v>
      </c>
      <c r="M26">
        <v>132</v>
      </c>
      <c r="N26" t="s">
        <v>2011</v>
      </c>
      <c r="O26" t="s">
        <v>2927</v>
      </c>
      <c r="P26">
        <v>42865.1</v>
      </c>
      <c r="Q26">
        <v>36541.1</v>
      </c>
      <c r="R26">
        <v>0</v>
      </c>
      <c r="S26" t="e">
        <v>#DIV/0!</v>
      </c>
      <c r="T26">
        <v>18911</v>
      </c>
      <c r="U26">
        <v>0</v>
      </c>
    </row>
    <row r="27" spans="1:21" x14ac:dyDescent="0.3">
      <c r="A27" t="s">
        <v>134</v>
      </c>
      <c r="B27" t="s">
        <v>135</v>
      </c>
      <c r="C27" t="s">
        <v>20</v>
      </c>
      <c r="D27" t="s">
        <v>136</v>
      </c>
      <c r="E27" t="s">
        <v>22</v>
      </c>
      <c r="F27" t="s">
        <v>28</v>
      </c>
      <c r="G27">
        <v>0</v>
      </c>
      <c r="H27">
        <v>22500</v>
      </c>
      <c r="J27" t="s">
        <v>137</v>
      </c>
      <c r="K27">
        <v>0</v>
      </c>
      <c r="L27">
        <v>1930</v>
      </c>
      <c r="M27">
        <v>96</v>
      </c>
      <c r="N27" t="s">
        <v>2013</v>
      </c>
      <c r="O27" t="s">
        <v>2927</v>
      </c>
      <c r="P27">
        <v>54775.9</v>
      </c>
      <c r="Q27">
        <v>56889.5</v>
      </c>
      <c r="R27">
        <v>2358.4</v>
      </c>
      <c r="S27">
        <v>24.122074287652644</v>
      </c>
      <c r="T27">
        <v>7401.1</v>
      </c>
      <c r="U27">
        <v>0.31869999999999998</v>
      </c>
    </row>
    <row r="28" spans="1:21" x14ac:dyDescent="0.3">
      <c r="A28" t="s">
        <v>138</v>
      </c>
      <c r="B28" t="s">
        <v>139</v>
      </c>
      <c r="C28" t="s">
        <v>41</v>
      </c>
      <c r="D28" t="s">
        <v>140</v>
      </c>
      <c r="E28" t="s">
        <v>22</v>
      </c>
      <c r="F28" t="s">
        <v>33</v>
      </c>
      <c r="G28">
        <v>0</v>
      </c>
      <c r="H28">
        <v>31500</v>
      </c>
      <c r="J28" t="s">
        <v>141</v>
      </c>
      <c r="K28">
        <v>0</v>
      </c>
      <c r="L28">
        <v>1980</v>
      </c>
      <c r="M28">
        <v>46</v>
      </c>
      <c r="N28" t="s">
        <v>2015</v>
      </c>
      <c r="O28" t="s">
        <v>2928</v>
      </c>
      <c r="P28">
        <v>209244.5</v>
      </c>
      <c r="Q28">
        <v>255550.5</v>
      </c>
      <c r="R28">
        <v>16617</v>
      </c>
      <c r="S28">
        <v>15.378858999819462</v>
      </c>
      <c r="T28">
        <v>36751</v>
      </c>
      <c r="U28">
        <v>0.45219999999999999</v>
      </c>
    </row>
    <row r="29" spans="1:21" x14ac:dyDescent="0.3">
      <c r="A29" t="s">
        <v>142</v>
      </c>
      <c r="B29" t="s">
        <v>143</v>
      </c>
      <c r="C29" t="s">
        <v>20</v>
      </c>
      <c r="D29" t="s">
        <v>144</v>
      </c>
      <c r="E29" t="s">
        <v>22</v>
      </c>
      <c r="F29" t="s">
        <v>43</v>
      </c>
      <c r="G29">
        <v>0</v>
      </c>
      <c r="H29">
        <v>170000</v>
      </c>
      <c r="J29" t="s">
        <v>145</v>
      </c>
      <c r="K29">
        <v>0</v>
      </c>
      <c r="L29">
        <v>1932</v>
      </c>
      <c r="M29">
        <v>94</v>
      </c>
      <c r="N29" t="s">
        <v>2017</v>
      </c>
      <c r="O29" t="s">
        <v>2927</v>
      </c>
      <c r="P29">
        <v>179539.1</v>
      </c>
      <c r="Q29">
        <v>184269.2</v>
      </c>
      <c r="R29">
        <v>6970.8</v>
      </c>
      <c r="S29">
        <v>26.434440810236989</v>
      </c>
      <c r="T29">
        <v>23094.7</v>
      </c>
      <c r="U29">
        <v>0.30180000000000001</v>
      </c>
    </row>
    <row r="30" spans="1:21" x14ac:dyDescent="0.3">
      <c r="A30" t="s">
        <v>146</v>
      </c>
      <c r="B30" t="s">
        <v>147</v>
      </c>
      <c r="C30" t="s">
        <v>41</v>
      </c>
      <c r="D30" t="s">
        <v>148</v>
      </c>
      <c r="E30" t="s">
        <v>22</v>
      </c>
      <c r="F30" t="s">
        <v>43</v>
      </c>
      <c r="G30">
        <v>0</v>
      </c>
      <c r="H30">
        <v>24500</v>
      </c>
      <c r="J30" t="s">
        <v>149</v>
      </c>
      <c r="K30">
        <v>0</v>
      </c>
      <c r="L30">
        <v>1965</v>
      </c>
      <c r="M30">
        <v>61</v>
      </c>
      <c r="N30" t="s">
        <v>2019</v>
      </c>
      <c r="O30" t="s">
        <v>2927</v>
      </c>
      <c r="P30">
        <v>173698.2</v>
      </c>
      <c r="Q30">
        <v>178350.4</v>
      </c>
      <c r="R30">
        <v>5459.1</v>
      </c>
      <c r="S30">
        <v>32.67029363814548</v>
      </c>
      <c r="T30">
        <v>11756.8</v>
      </c>
      <c r="U30">
        <v>0.46429999999999999</v>
      </c>
    </row>
    <row r="31" spans="1:21" x14ac:dyDescent="0.3">
      <c r="A31" t="s">
        <v>150</v>
      </c>
      <c r="B31" t="s">
        <v>151</v>
      </c>
      <c r="C31" t="s">
        <v>41</v>
      </c>
      <c r="D31" t="s">
        <v>152</v>
      </c>
      <c r="E31" t="s">
        <v>22</v>
      </c>
      <c r="F31" t="s">
        <v>153</v>
      </c>
      <c r="G31">
        <v>0</v>
      </c>
      <c r="H31">
        <v>1791</v>
      </c>
      <c r="J31" t="s">
        <v>154</v>
      </c>
      <c r="K31">
        <v>0</v>
      </c>
      <c r="L31">
        <v>1954</v>
      </c>
      <c r="M31">
        <v>72</v>
      </c>
      <c r="N31" t="s">
        <v>2021</v>
      </c>
      <c r="O31" t="s">
        <v>2927</v>
      </c>
      <c r="P31">
        <v>10728.2</v>
      </c>
      <c r="Q31">
        <v>15932.2</v>
      </c>
      <c r="R31">
        <v>5146</v>
      </c>
      <c r="S31">
        <v>3.0960357559269336</v>
      </c>
      <c r="T31">
        <v>8685</v>
      </c>
      <c r="U31">
        <v>0.59250000000000003</v>
      </c>
    </row>
    <row r="32" spans="1:21" x14ac:dyDescent="0.3">
      <c r="A32" t="s">
        <v>155</v>
      </c>
      <c r="B32" t="s">
        <v>156</v>
      </c>
      <c r="C32" t="s">
        <v>20</v>
      </c>
      <c r="D32" t="s">
        <v>157</v>
      </c>
      <c r="E32" t="s">
        <v>22</v>
      </c>
      <c r="F32" t="s">
        <v>53</v>
      </c>
      <c r="G32">
        <v>1</v>
      </c>
      <c r="H32">
        <v>6140</v>
      </c>
      <c r="J32" t="s">
        <v>158</v>
      </c>
      <c r="K32">
        <v>0</v>
      </c>
      <c r="L32">
        <v>1990</v>
      </c>
      <c r="M32">
        <v>36</v>
      </c>
      <c r="N32" t="s">
        <v>2023</v>
      </c>
      <c r="O32" t="s">
        <v>2927</v>
      </c>
      <c r="P32">
        <v>60484.7</v>
      </c>
      <c r="Q32" t="s">
        <v>91</v>
      </c>
      <c r="R32">
        <v>0</v>
      </c>
      <c r="S32" t="e">
        <v>#VALUE!</v>
      </c>
      <c r="T32">
        <v>31793</v>
      </c>
      <c r="U32">
        <v>0</v>
      </c>
    </row>
    <row r="33" spans="1:21" x14ac:dyDescent="0.3">
      <c r="A33" t="s">
        <v>159</v>
      </c>
      <c r="B33" t="s">
        <v>160</v>
      </c>
      <c r="C33" t="s">
        <v>41</v>
      </c>
      <c r="D33" t="s">
        <v>161</v>
      </c>
      <c r="E33" t="s">
        <v>22</v>
      </c>
      <c r="F33" t="s">
        <v>43</v>
      </c>
      <c r="G33">
        <v>0</v>
      </c>
      <c r="H33">
        <v>166000</v>
      </c>
      <c r="J33" t="s">
        <v>162</v>
      </c>
      <c r="K33">
        <v>0</v>
      </c>
      <c r="L33">
        <v>1976</v>
      </c>
      <c r="M33">
        <v>50</v>
      </c>
      <c r="N33" t="s">
        <v>2025</v>
      </c>
      <c r="O33" t="s">
        <v>2928</v>
      </c>
      <c r="P33">
        <v>3878463.6</v>
      </c>
      <c r="Q33">
        <v>3824177.6</v>
      </c>
      <c r="R33">
        <v>152902</v>
      </c>
      <c r="S33">
        <v>25.010644726687683</v>
      </c>
      <c r="T33">
        <v>435617</v>
      </c>
      <c r="U33">
        <v>0.35099999999999998</v>
      </c>
    </row>
    <row r="34" spans="1:21" x14ac:dyDescent="0.3">
      <c r="A34" t="s">
        <v>163</v>
      </c>
      <c r="B34" t="s">
        <v>164</v>
      </c>
      <c r="C34" t="s">
        <v>41</v>
      </c>
      <c r="D34" t="s">
        <v>165</v>
      </c>
      <c r="E34" t="s">
        <v>22</v>
      </c>
      <c r="F34" t="s">
        <v>43</v>
      </c>
      <c r="G34">
        <v>0</v>
      </c>
      <c r="H34">
        <v>36500</v>
      </c>
      <c r="J34" t="s">
        <v>166</v>
      </c>
      <c r="K34">
        <v>0</v>
      </c>
      <c r="L34">
        <v>1967</v>
      </c>
      <c r="M34">
        <v>59</v>
      </c>
      <c r="N34" t="s">
        <v>2027</v>
      </c>
      <c r="O34" t="s">
        <v>2928</v>
      </c>
      <c r="P34">
        <v>295461</v>
      </c>
      <c r="Q34">
        <v>294140</v>
      </c>
      <c r="R34">
        <v>8889</v>
      </c>
      <c r="S34">
        <v>33.090336370795363</v>
      </c>
      <c r="T34">
        <v>28214</v>
      </c>
      <c r="U34">
        <v>0.31509999999999999</v>
      </c>
    </row>
    <row r="35" spans="1:21" x14ac:dyDescent="0.3">
      <c r="A35" t="s">
        <v>167</v>
      </c>
      <c r="B35" t="s">
        <v>168</v>
      </c>
      <c r="C35" t="s">
        <v>41</v>
      </c>
      <c r="D35" t="s">
        <v>169</v>
      </c>
      <c r="E35" t="s">
        <v>22</v>
      </c>
      <c r="F35" t="s">
        <v>43</v>
      </c>
      <c r="G35">
        <v>0</v>
      </c>
      <c r="H35">
        <v>887</v>
      </c>
      <c r="J35" t="s">
        <v>170</v>
      </c>
      <c r="K35">
        <v>0</v>
      </c>
      <c r="L35">
        <v>2011</v>
      </c>
      <c r="M35">
        <v>15</v>
      </c>
      <c r="N35" t="s">
        <v>2029</v>
      </c>
      <c r="O35" t="s">
        <v>2928</v>
      </c>
      <c r="P35">
        <v>146638.39999999999</v>
      </c>
      <c r="Q35">
        <v>147818.70000000001</v>
      </c>
      <c r="R35">
        <v>4275</v>
      </c>
      <c r="S35">
        <v>34.577473684210531</v>
      </c>
      <c r="T35">
        <v>5480.7</v>
      </c>
      <c r="U35">
        <v>0.78</v>
      </c>
    </row>
    <row r="36" spans="1:21" x14ac:dyDescent="0.3">
      <c r="A36" t="s">
        <v>171</v>
      </c>
      <c r="B36" t="s">
        <v>172</v>
      </c>
      <c r="C36" t="s">
        <v>20</v>
      </c>
      <c r="D36" t="s">
        <v>173</v>
      </c>
      <c r="E36" t="s">
        <v>22</v>
      </c>
      <c r="F36" t="s">
        <v>100</v>
      </c>
      <c r="G36">
        <v>0</v>
      </c>
      <c r="H36">
        <v>41147</v>
      </c>
      <c r="J36" t="s">
        <v>174</v>
      </c>
      <c r="K36">
        <v>0</v>
      </c>
      <c r="L36">
        <v>1902</v>
      </c>
      <c r="M36">
        <v>124</v>
      </c>
      <c r="N36" t="s">
        <v>2031</v>
      </c>
      <c r="O36" t="s">
        <v>2927</v>
      </c>
      <c r="P36">
        <v>33222.199999999997</v>
      </c>
      <c r="Q36">
        <v>42227.199999999997</v>
      </c>
      <c r="R36">
        <v>2521</v>
      </c>
      <c r="S36">
        <v>16.750178500595002</v>
      </c>
      <c r="T36">
        <v>80269</v>
      </c>
      <c r="U36">
        <v>3.1399999999999997E-2</v>
      </c>
    </row>
    <row r="37" spans="1:21" x14ac:dyDescent="0.3">
      <c r="A37" t="s">
        <v>175</v>
      </c>
      <c r="B37" t="s">
        <v>176</v>
      </c>
      <c r="C37" t="s">
        <v>20</v>
      </c>
      <c r="D37" t="s">
        <v>177</v>
      </c>
      <c r="E37" t="s">
        <v>22</v>
      </c>
      <c r="F37" t="s">
        <v>53</v>
      </c>
      <c r="G37">
        <v>1</v>
      </c>
      <c r="H37">
        <v>3967</v>
      </c>
      <c r="J37" t="s">
        <v>178</v>
      </c>
      <c r="K37">
        <v>0</v>
      </c>
      <c r="L37">
        <v>1997</v>
      </c>
      <c r="M37">
        <v>29</v>
      </c>
      <c r="N37" t="s">
        <v>2033</v>
      </c>
      <c r="O37" t="s">
        <v>2928</v>
      </c>
      <c r="P37">
        <v>25134.2</v>
      </c>
      <c r="Q37">
        <v>43794.400000000001</v>
      </c>
      <c r="R37">
        <v>1241.0999999999999</v>
      </c>
      <c r="S37">
        <v>35.286761743614541</v>
      </c>
      <c r="T37">
        <v>5601.5</v>
      </c>
      <c r="U37">
        <v>0.22159999999999999</v>
      </c>
    </row>
    <row r="38" spans="1:21" x14ac:dyDescent="0.3">
      <c r="A38" t="s">
        <v>179</v>
      </c>
      <c r="B38" t="s">
        <v>180</v>
      </c>
      <c r="C38" t="s">
        <v>20</v>
      </c>
      <c r="D38" t="s">
        <v>181</v>
      </c>
      <c r="E38" t="s">
        <v>22</v>
      </c>
      <c r="F38" t="s">
        <v>43</v>
      </c>
      <c r="G38">
        <v>0</v>
      </c>
      <c r="H38">
        <v>5115</v>
      </c>
      <c r="I38" t="s">
        <v>182</v>
      </c>
      <c r="J38" t="s">
        <v>182</v>
      </c>
      <c r="K38">
        <v>1</v>
      </c>
      <c r="L38">
        <v>2004</v>
      </c>
      <c r="M38">
        <v>22</v>
      </c>
      <c r="N38" t="s">
        <v>2035</v>
      </c>
      <c r="O38" t="s">
        <v>2928</v>
      </c>
      <c r="P38">
        <v>167747.79999999999</v>
      </c>
      <c r="Q38">
        <v>157026.9</v>
      </c>
      <c r="R38">
        <v>3928.7</v>
      </c>
      <c r="S38">
        <v>39.969175554254591</v>
      </c>
      <c r="T38">
        <v>9005.7000000000007</v>
      </c>
      <c r="U38">
        <v>0.43619999999999998</v>
      </c>
    </row>
    <row r="39" spans="1:21" x14ac:dyDescent="0.3">
      <c r="A39" t="s">
        <v>183</v>
      </c>
      <c r="B39" t="s">
        <v>184</v>
      </c>
      <c r="C39" t="s">
        <v>20</v>
      </c>
      <c r="D39" t="s">
        <v>185</v>
      </c>
      <c r="E39" t="s">
        <v>22</v>
      </c>
      <c r="F39" t="s">
        <v>53</v>
      </c>
      <c r="G39">
        <v>1</v>
      </c>
      <c r="H39">
        <v>72000</v>
      </c>
      <c r="J39" t="s">
        <v>186</v>
      </c>
      <c r="K39">
        <v>0</v>
      </c>
      <c r="L39">
        <v>1927</v>
      </c>
      <c r="M39">
        <v>99</v>
      </c>
      <c r="N39" t="s">
        <v>2037</v>
      </c>
      <c r="O39" t="s">
        <v>2927</v>
      </c>
      <c r="P39">
        <v>58670.2</v>
      </c>
      <c r="Q39">
        <v>70917.2</v>
      </c>
      <c r="R39">
        <v>3479</v>
      </c>
      <c r="S39">
        <v>20.384363322793906</v>
      </c>
      <c r="T39">
        <v>13009</v>
      </c>
      <c r="U39">
        <v>0.26740000000000003</v>
      </c>
    </row>
    <row r="40" spans="1:21" x14ac:dyDescent="0.3">
      <c r="A40" t="s">
        <v>187</v>
      </c>
      <c r="B40" t="s">
        <v>188</v>
      </c>
      <c r="C40" t="s">
        <v>20</v>
      </c>
      <c r="D40" t="s">
        <v>189</v>
      </c>
      <c r="E40" t="s">
        <v>22</v>
      </c>
      <c r="F40" t="s">
        <v>53</v>
      </c>
      <c r="G40">
        <v>1</v>
      </c>
      <c r="H40">
        <v>14800</v>
      </c>
      <c r="J40" t="s">
        <v>190</v>
      </c>
      <c r="K40">
        <v>0</v>
      </c>
      <c r="L40">
        <v>1892</v>
      </c>
      <c r="M40">
        <v>134</v>
      </c>
      <c r="N40" t="s">
        <v>2039</v>
      </c>
      <c r="O40" t="s">
        <v>2927</v>
      </c>
      <c r="P40">
        <v>11410.6</v>
      </c>
      <c r="Q40">
        <v>11857.3</v>
      </c>
      <c r="R40">
        <v>1475.7</v>
      </c>
      <c r="S40">
        <v>8.0350342210476384</v>
      </c>
      <c r="T40">
        <v>12814.3</v>
      </c>
      <c r="U40">
        <v>0.1152</v>
      </c>
    </row>
    <row r="41" spans="1:21" x14ac:dyDescent="0.3">
      <c r="A41" t="s">
        <v>191</v>
      </c>
      <c r="B41" t="s">
        <v>192</v>
      </c>
      <c r="C41" t="s">
        <v>20</v>
      </c>
      <c r="D41" t="s">
        <v>193</v>
      </c>
      <c r="E41" t="s">
        <v>22</v>
      </c>
      <c r="F41" t="s">
        <v>95</v>
      </c>
      <c r="G41">
        <v>0</v>
      </c>
      <c r="H41">
        <v>133030</v>
      </c>
      <c r="J41" t="s">
        <v>194</v>
      </c>
      <c r="K41">
        <v>0</v>
      </c>
      <c r="L41">
        <v>1983</v>
      </c>
      <c r="M41">
        <v>43</v>
      </c>
      <c r="N41" t="s">
        <v>2041</v>
      </c>
      <c r="O41" t="s">
        <v>2927</v>
      </c>
      <c r="P41">
        <v>196086.2</v>
      </c>
      <c r="Q41">
        <v>355371.2</v>
      </c>
      <c r="R41">
        <v>44243</v>
      </c>
      <c r="S41">
        <v>8.0322582103383589</v>
      </c>
      <c r="T41">
        <v>125648</v>
      </c>
      <c r="U41">
        <v>0.35210000000000002</v>
      </c>
    </row>
    <row r="42" spans="1:21" x14ac:dyDescent="0.3">
      <c r="A42" t="s">
        <v>195</v>
      </c>
      <c r="B42" t="s">
        <v>196</v>
      </c>
      <c r="C42" t="s">
        <v>20</v>
      </c>
      <c r="D42" t="s">
        <v>197</v>
      </c>
      <c r="E42" t="s">
        <v>22</v>
      </c>
      <c r="F42" t="s">
        <v>89</v>
      </c>
      <c r="G42">
        <v>0</v>
      </c>
      <c r="H42">
        <v>5487</v>
      </c>
      <c r="J42" t="s">
        <v>198</v>
      </c>
      <c r="K42">
        <v>0</v>
      </c>
      <c r="L42">
        <v>1906</v>
      </c>
      <c r="M42">
        <v>120</v>
      </c>
      <c r="N42" t="s">
        <v>2043</v>
      </c>
      <c r="O42" t="s">
        <v>2927</v>
      </c>
      <c r="P42">
        <v>30902.3</v>
      </c>
      <c r="Q42">
        <v>40168.199999999997</v>
      </c>
      <c r="R42">
        <v>2391.6</v>
      </c>
      <c r="S42">
        <v>16.795534370296036</v>
      </c>
      <c r="T42">
        <v>4869.3</v>
      </c>
      <c r="U42">
        <v>0.49120000000000003</v>
      </c>
    </row>
    <row r="43" spans="1:21" x14ac:dyDescent="0.3">
      <c r="A43" t="s">
        <v>199</v>
      </c>
      <c r="B43" t="s">
        <v>200</v>
      </c>
      <c r="C43" t="s">
        <v>41</v>
      </c>
      <c r="D43" t="s">
        <v>201</v>
      </c>
      <c r="E43" t="s">
        <v>22</v>
      </c>
      <c r="F43" t="s">
        <v>43</v>
      </c>
      <c r="G43">
        <v>0</v>
      </c>
      <c r="H43">
        <v>15300</v>
      </c>
      <c r="J43" t="s">
        <v>202</v>
      </c>
      <c r="K43">
        <v>0</v>
      </c>
      <c r="L43">
        <v>1982</v>
      </c>
      <c r="M43">
        <v>44</v>
      </c>
      <c r="N43" t="s">
        <v>2045</v>
      </c>
      <c r="O43" t="s">
        <v>2928</v>
      </c>
      <c r="P43">
        <v>52022.5</v>
      </c>
      <c r="Q43">
        <v>51783.5</v>
      </c>
      <c r="R43">
        <v>1892</v>
      </c>
      <c r="S43">
        <v>27.369714587737842</v>
      </c>
      <c r="T43">
        <v>7206</v>
      </c>
      <c r="U43">
        <v>0.2626</v>
      </c>
    </row>
    <row r="44" spans="1:21" x14ac:dyDescent="0.3">
      <c r="A44" t="s">
        <v>203</v>
      </c>
      <c r="B44" t="s">
        <v>204</v>
      </c>
      <c r="C44" t="s">
        <v>41</v>
      </c>
      <c r="D44" t="s">
        <v>205</v>
      </c>
      <c r="E44" t="s">
        <v>22</v>
      </c>
      <c r="F44" t="s">
        <v>28</v>
      </c>
      <c r="G44">
        <v>0</v>
      </c>
      <c r="H44">
        <v>67000</v>
      </c>
      <c r="I44" t="s">
        <v>206</v>
      </c>
      <c r="J44" t="s">
        <v>206</v>
      </c>
      <c r="K44">
        <v>1</v>
      </c>
      <c r="L44">
        <v>1949</v>
      </c>
      <c r="M44">
        <v>77</v>
      </c>
      <c r="N44" t="s">
        <v>2047</v>
      </c>
      <c r="O44" t="s">
        <v>2927</v>
      </c>
      <c r="P44">
        <v>86310.8</v>
      </c>
      <c r="Q44">
        <v>88364</v>
      </c>
      <c r="R44">
        <v>6188.5</v>
      </c>
      <c r="S44">
        <v>14.278742829441706</v>
      </c>
      <c r="T44">
        <v>21214.3</v>
      </c>
      <c r="U44">
        <v>0.29170000000000001</v>
      </c>
    </row>
    <row r="45" spans="1:21" x14ac:dyDescent="0.3">
      <c r="A45" t="s">
        <v>207</v>
      </c>
      <c r="B45" t="s">
        <v>208</v>
      </c>
      <c r="C45" t="s">
        <v>20</v>
      </c>
      <c r="D45" t="s">
        <v>209</v>
      </c>
      <c r="E45" t="s">
        <v>22</v>
      </c>
      <c r="F45" t="s">
        <v>67</v>
      </c>
      <c r="G45">
        <v>0</v>
      </c>
      <c r="H45">
        <v>104000</v>
      </c>
      <c r="J45" t="s">
        <v>210</v>
      </c>
      <c r="K45">
        <v>0</v>
      </c>
      <c r="L45">
        <v>1979</v>
      </c>
      <c r="M45">
        <v>47</v>
      </c>
      <c r="N45" t="s">
        <v>2049</v>
      </c>
      <c r="O45" t="s">
        <v>2927</v>
      </c>
      <c r="P45">
        <v>62221.8</v>
      </c>
      <c r="Q45">
        <v>74226.3</v>
      </c>
      <c r="R45">
        <v>4181.3999999999996</v>
      </c>
      <c r="S45">
        <v>17.751542545558905</v>
      </c>
      <c r="T45">
        <v>19287.7</v>
      </c>
      <c r="U45">
        <v>0.21679999999999999</v>
      </c>
    </row>
    <row r="46" spans="1:21" x14ac:dyDescent="0.3">
      <c r="A46" t="s">
        <v>211</v>
      </c>
      <c r="B46" t="s">
        <v>212</v>
      </c>
      <c r="C46" t="s">
        <v>20</v>
      </c>
      <c r="D46" t="s">
        <v>213</v>
      </c>
      <c r="E46" t="s">
        <v>22</v>
      </c>
      <c r="F46" t="s">
        <v>80</v>
      </c>
      <c r="G46">
        <v>0</v>
      </c>
      <c r="H46">
        <v>2958</v>
      </c>
      <c r="J46" t="s">
        <v>214</v>
      </c>
      <c r="K46">
        <v>0</v>
      </c>
      <c r="L46">
        <v>1978</v>
      </c>
      <c r="M46">
        <v>48</v>
      </c>
      <c r="N46" t="s">
        <v>2051</v>
      </c>
      <c r="O46" t="s">
        <v>2927</v>
      </c>
      <c r="P46">
        <v>24797.4</v>
      </c>
      <c r="Q46">
        <v>34330.9</v>
      </c>
      <c r="R46">
        <v>1847</v>
      </c>
      <c r="S46">
        <v>18.587384948565241</v>
      </c>
      <c r="T46">
        <v>3041.2</v>
      </c>
      <c r="U46">
        <v>0.60729999999999995</v>
      </c>
    </row>
    <row r="47" spans="1:21" x14ac:dyDescent="0.3">
      <c r="A47" t="s">
        <v>215</v>
      </c>
      <c r="B47" t="s">
        <v>216</v>
      </c>
      <c r="C47" t="s">
        <v>20</v>
      </c>
      <c r="D47" t="s">
        <v>217</v>
      </c>
      <c r="E47" t="s">
        <v>22</v>
      </c>
      <c r="F47" t="s">
        <v>62</v>
      </c>
      <c r="G47">
        <v>0</v>
      </c>
      <c r="H47">
        <v>35000</v>
      </c>
      <c r="J47" t="s">
        <v>218</v>
      </c>
      <c r="K47">
        <v>0</v>
      </c>
      <c r="L47">
        <v>1935</v>
      </c>
      <c r="M47">
        <v>91</v>
      </c>
      <c r="N47" t="s">
        <v>2053</v>
      </c>
      <c r="O47" t="s">
        <v>2927</v>
      </c>
      <c r="P47">
        <v>15095</v>
      </c>
      <c r="Q47">
        <v>18798.900000000001</v>
      </c>
      <c r="R47">
        <v>1418.9</v>
      </c>
      <c r="S47">
        <v>13.248925223764889</v>
      </c>
      <c r="T47">
        <v>8855.5</v>
      </c>
      <c r="U47">
        <v>0.16020000000000001</v>
      </c>
    </row>
    <row r="48" spans="1:21" x14ac:dyDescent="0.3">
      <c r="A48" t="s">
        <v>219</v>
      </c>
      <c r="B48" t="s">
        <v>220</v>
      </c>
      <c r="C48" t="s">
        <v>41</v>
      </c>
      <c r="D48" t="s">
        <v>221</v>
      </c>
      <c r="E48" t="s">
        <v>22</v>
      </c>
      <c r="F48" t="s">
        <v>28</v>
      </c>
      <c r="G48">
        <v>0</v>
      </c>
      <c r="H48">
        <v>5100</v>
      </c>
      <c r="J48" t="s">
        <v>222</v>
      </c>
      <c r="K48">
        <v>0</v>
      </c>
      <c r="L48">
        <v>1993</v>
      </c>
      <c r="M48">
        <v>33</v>
      </c>
      <c r="N48" t="s">
        <v>2055</v>
      </c>
      <c r="O48" t="s">
        <v>2927</v>
      </c>
      <c r="P48">
        <v>43506.7</v>
      </c>
      <c r="Q48">
        <v>43689.599999999999</v>
      </c>
      <c r="R48">
        <v>53.5</v>
      </c>
      <c r="S48">
        <v>816.62803738317757</v>
      </c>
      <c r="T48">
        <v>2779.5</v>
      </c>
      <c r="U48">
        <v>1.9199999999999998E-2</v>
      </c>
    </row>
    <row r="49" spans="1:21" x14ac:dyDescent="0.3">
      <c r="A49" t="s">
        <v>223</v>
      </c>
      <c r="B49" t="s">
        <v>224</v>
      </c>
      <c r="C49" t="s">
        <v>41</v>
      </c>
      <c r="D49" t="s">
        <v>225</v>
      </c>
      <c r="E49" t="s">
        <v>22</v>
      </c>
      <c r="F49" t="s">
        <v>153</v>
      </c>
      <c r="G49">
        <v>0</v>
      </c>
      <c r="H49">
        <v>56000</v>
      </c>
      <c r="J49" t="s">
        <v>226</v>
      </c>
      <c r="K49">
        <v>0</v>
      </c>
      <c r="L49">
        <v>2016</v>
      </c>
      <c r="M49">
        <v>10</v>
      </c>
      <c r="N49" t="s">
        <v>2057</v>
      </c>
      <c r="O49" t="s">
        <v>2927</v>
      </c>
      <c r="P49">
        <v>64492.3</v>
      </c>
      <c r="Q49">
        <v>67655.3</v>
      </c>
      <c r="R49">
        <v>4695</v>
      </c>
      <c r="S49">
        <v>14.410074547390842</v>
      </c>
      <c r="T49">
        <v>27733</v>
      </c>
      <c r="U49">
        <v>0.16930000000000001</v>
      </c>
    </row>
    <row r="50" spans="1:21" x14ac:dyDescent="0.3">
      <c r="A50" t="s">
        <v>227</v>
      </c>
      <c r="B50" t="s">
        <v>228</v>
      </c>
      <c r="C50" t="s">
        <v>20</v>
      </c>
      <c r="D50" t="s">
        <v>229</v>
      </c>
      <c r="E50" t="s">
        <v>22</v>
      </c>
      <c r="F50" t="s">
        <v>62</v>
      </c>
      <c r="G50">
        <v>0</v>
      </c>
      <c r="H50">
        <v>16000</v>
      </c>
      <c r="J50" t="s">
        <v>230</v>
      </c>
      <c r="K50">
        <v>0</v>
      </c>
      <c r="L50">
        <v>1880</v>
      </c>
      <c r="M50">
        <v>146</v>
      </c>
      <c r="N50" t="s">
        <v>2059</v>
      </c>
      <c r="O50" t="s">
        <v>2927</v>
      </c>
      <c r="P50">
        <v>17861.8</v>
      </c>
      <c r="Q50">
        <v>24020.799999999999</v>
      </c>
      <c r="R50">
        <v>2012</v>
      </c>
      <c r="S50">
        <v>11.938767395626241</v>
      </c>
      <c r="T50">
        <v>13161</v>
      </c>
      <c r="U50">
        <v>0.15290000000000001</v>
      </c>
    </row>
    <row r="51" spans="1:21" x14ac:dyDescent="0.3">
      <c r="A51" t="s">
        <v>231</v>
      </c>
      <c r="B51" t="s">
        <v>232</v>
      </c>
      <c r="C51" t="s">
        <v>20</v>
      </c>
      <c r="D51" t="s">
        <v>233</v>
      </c>
      <c r="E51" t="s">
        <v>22</v>
      </c>
      <c r="F51" t="s">
        <v>53</v>
      </c>
      <c r="G51">
        <v>1</v>
      </c>
      <c r="H51">
        <v>213000</v>
      </c>
      <c r="J51" t="s">
        <v>234</v>
      </c>
      <c r="K51">
        <v>0</v>
      </c>
      <c r="L51">
        <v>1784</v>
      </c>
      <c r="M51">
        <v>242</v>
      </c>
      <c r="N51" t="s">
        <v>2061</v>
      </c>
      <c r="O51" t="s">
        <v>2927</v>
      </c>
      <c r="P51">
        <v>357614.1</v>
      </c>
      <c r="Q51" t="s">
        <v>91</v>
      </c>
      <c r="R51">
        <v>0</v>
      </c>
      <c r="S51" t="e">
        <v>#VALUE!</v>
      </c>
      <c r="T51">
        <v>107422</v>
      </c>
      <c r="U51">
        <v>0</v>
      </c>
    </row>
    <row r="52" spans="1:21" x14ac:dyDescent="0.3">
      <c r="A52" t="s">
        <v>235</v>
      </c>
      <c r="B52" t="s">
        <v>236</v>
      </c>
      <c r="C52" t="s">
        <v>20</v>
      </c>
      <c r="D52" t="s">
        <v>237</v>
      </c>
      <c r="E52" t="s">
        <v>22</v>
      </c>
      <c r="F52" t="s">
        <v>33</v>
      </c>
      <c r="G52">
        <v>0</v>
      </c>
      <c r="H52">
        <v>37500</v>
      </c>
      <c r="J52" t="s">
        <v>238</v>
      </c>
      <c r="K52">
        <v>0</v>
      </c>
      <c r="L52">
        <v>1931</v>
      </c>
      <c r="M52">
        <v>95</v>
      </c>
      <c r="N52" t="s">
        <v>2063</v>
      </c>
      <c r="O52" t="s">
        <v>2927</v>
      </c>
      <c r="P52">
        <v>10480.200000000001</v>
      </c>
      <c r="Q52">
        <v>18267.2</v>
      </c>
      <c r="R52">
        <v>2018</v>
      </c>
      <c r="S52">
        <v>9.0521308225966308</v>
      </c>
      <c r="T52">
        <v>11244</v>
      </c>
      <c r="U52">
        <v>0.17949999999999999</v>
      </c>
    </row>
    <row r="53" spans="1:21" x14ac:dyDescent="0.3">
      <c r="A53" t="s">
        <v>239</v>
      </c>
      <c r="B53" t="s">
        <v>240</v>
      </c>
      <c r="C53" t="s">
        <v>20</v>
      </c>
      <c r="D53" t="s">
        <v>241</v>
      </c>
      <c r="E53" t="s">
        <v>22</v>
      </c>
      <c r="F53" t="s">
        <v>33</v>
      </c>
      <c r="G53">
        <v>0</v>
      </c>
      <c r="H53">
        <v>72000</v>
      </c>
      <c r="J53" t="s">
        <v>242</v>
      </c>
      <c r="K53">
        <v>0</v>
      </c>
      <c r="L53">
        <v>1897</v>
      </c>
      <c r="M53">
        <v>129</v>
      </c>
      <c r="N53" t="s">
        <v>2065</v>
      </c>
      <c r="O53" t="s">
        <v>2927</v>
      </c>
      <c r="P53">
        <v>50251.199999999997</v>
      </c>
      <c r="Q53">
        <v>69039.199999999997</v>
      </c>
      <c r="R53">
        <v>6042</v>
      </c>
      <c r="S53">
        <v>11.426547500827541</v>
      </c>
      <c r="T53">
        <v>21924</v>
      </c>
      <c r="U53">
        <v>0.27560000000000001</v>
      </c>
    </row>
    <row r="54" spans="1:21" x14ac:dyDescent="0.3">
      <c r="A54" t="s">
        <v>243</v>
      </c>
      <c r="B54" t="s">
        <v>244</v>
      </c>
      <c r="C54" t="s">
        <v>20</v>
      </c>
      <c r="D54" t="s">
        <v>245</v>
      </c>
      <c r="E54" t="s">
        <v>91</v>
      </c>
      <c r="F54" t="s">
        <v>53</v>
      </c>
      <c r="G54">
        <v>1</v>
      </c>
      <c r="H54">
        <v>392400</v>
      </c>
      <c r="J54" t="s">
        <v>246</v>
      </c>
      <c r="K54">
        <v>0</v>
      </c>
      <c r="L54">
        <v>1998</v>
      </c>
      <c r="M54">
        <v>28</v>
      </c>
      <c r="N54" t="s">
        <v>2068</v>
      </c>
      <c r="O54" t="s">
        <v>2927</v>
      </c>
      <c r="P54">
        <v>1089124.1000000001</v>
      </c>
      <c r="Q54">
        <v>836980.1</v>
      </c>
      <c r="R54">
        <v>110594</v>
      </c>
      <c r="S54">
        <v>7.568042570121345</v>
      </c>
      <c r="T54">
        <v>371444</v>
      </c>
      <c r="U54">
        <v>0.29770000000000002</v>
      </c>
    </row>
    <row r="55" spans="1:21" x14ac:dyDescent="0.3">
      <c r="A55" t="s">
        <v>247</v>
      </c>
      <c r="B55" t="s">
        <v>248</v>
      </c>
      <c r="C55" t="s">
        <v>20</v>
      </c>
      <c r="D55" t="s">
        <v>249</v>
      </c>
      <c r="E55" t="s">
        <v>22</v>
      </c>
      <c r="F55" t="s">
        <v>67</v>
      </c>
      <c r="G55">
        <v>0</v>
      </c>
      <c r="H55">
        <v>85000</v>
      </c>
      <c r="I55" t="s">
        <v>250</v>
      </c>
      <c r="J55" t="s">
        <v>251</v>
      </c>
      <c r="K55">
        <v>1</v>
      </c>
      <c r="L55">
        <v>1966</v>
      </c>
      <c r="M55">
        <v>60</v>
      </c>
      <c r="N55" t="s">
        <v>2070</v>
      </c>
      <c r="O55" t="s">
        <v>2927</v>
      </c>
      <c r="P55">
        <v>12984.9</v>
      </c>
      <c r="Q55">
        <v>15999.9</v>
      </c>
      <c r="R55">
        <v>2607</v>
      </c>
      <c r="S55">
        <v>6.1372842347525891</v>
      </c>
      <c r="T55">
        <v>41825</v>
      </c>
      <c r="U55">
        <v>6.2300000000000001E-2</v>
      </c>
    </row>
    <row r="56" spans="1:21" x14ac:dyDescent="0.3">
      <c r="A56" t="s">
        <v>252</v>
      </c>
      <c r="B56" t="s">
        <v>253</v>
      </c>
      <c r="C56" t="s">
        <v>41</v>
      </c>
      <c r="D56" t="s">
        <v>254</v>
      </c>
      <c r="E56" t="s">
        <v>22</v>
      </c>
      <c r="F56" t="s">
        <v>33</v>
      </c>
      <c r="G56">
        <v>0</v>
      </c>
      <c r="H56">
        <v>3100</v>
      </c>
      <c r="J56" t="s">
        <v>255</v>
      </c>
      <c r="K56">
        <v>0</v>
      </c>
      <c r="L56">
        <v>1976</v>
      </c>
      <c r="M56">
        <v>50</v>
      </c>
      <c r="N56" t="s">
        <v>2072</v>
      </c>
      <c r="O56" t="s">
        <v>2927</v>
      </c>
      <c r="P56">
        <v>9230.7000000000007</v>
      </c>
      <c r="Q56">
        <v>9402.1</v>
      </c>
      <c r="R56">
        <v>330.5</v>
      </c>
      <c r="S56">
        <v>28.448108925869896</v>
      </c>
      <c r="T56">
        <v>1215.5999999999999</v>
      </c>
      <c r="U56">
        <v>0.27189999999999998</v>
      </c>
    </row>
    <row r="57" spans="1:21" x14ac:dyDescent="0.3">
      <c r="A57" t="s">
        <v>256</v>
      </c>
      <c r="B57" t="s">
        <v>257</v>
      </c>
      <c r="C57" t="s">
        <v>41</v>
      </c>
      <c r="D57" t="s">
        <v>258</v>
      </c>
      <c r="E57" t="s">
        <v>22</v>
      </c>
      <c r="F57" t="s">
        <v>33</v>
      </c>
      <c r="G57">
        <v>0</v>
      </c>
      <c r="H57">
        <v>7500</v>
      </c>
      <c r="J57" t="s">
        <v>259</v>
      </c>
      <c r="K57">
        <v>0</v>
      </c>
      <c r="L57">
        <v>1978</v>
      </c>
      <c r="M57">
        <v>48</v>
      </c>
      <c r="N57" t="s">
        <v>2074</v>
      </c>
      <c r="O57" t="s">
        <v>2927</v>
      </c>
      <c r="P57">
        <v>28151.200000000001</v>
      </c>
      <c r="Q57">
        <v>30561.200000000001</v>
      </c>
      <c r="R57">
        <v>3603.7</v>
      </c>
      <c r="S57">
        <v>8.4805061464605824</v>
      </c>
      <c r="T57">
        <v>9890.6</v>
      </c>
      <c r="U57">
        <v>0.3644</v>
      </c>
    </row>
    <row r="58" spans="1:21" x14ac:dyDescent="0.3">
      <c r="A58" t="s">
        <v>260</v>
      </c>
      <c r="B58" t="s">
        <v>261</v>
      </c>
      <c r="C58" t="s">
        <v>20</v>
      </c>
      <c r="D58" t="s">
        <v>262</v>
      </c>
      <c r="E58" t="s">
        <v>22</v>
      </c>
      <c r="F58" t="s">
        <v>53</v>
      </c>
      <c r="G58">
        <v>1</v>
      </c>
      <c r="H58">
        <v>24900</v>
      </c>
      <c r="J58" t="s">
        <v>263</v>
      </c>
      <c r="K58">
        <v>0</v>
      </c>
      <c r="L58">
        <v>1988</v>
      </c>
      <c r="M58">
        <v>38</v>
      </c>
      <c r="N58" t="s">
        <v>2076</v>
      </c>
      <c r="O58" t="s">
        <v>2927</v>
      </c>
      <c r="P58">
        <v>165376.4</v>
      </c>
      <c r="Q58">
        <v>171769.4</v>
      </c>
      <c r="R58">
        <v>9686</v>
      </c>
      <c r="S58">
        <v>17.733780714433202</v>
      </c>
      <c r="T58">
        <v>24216</v>
      </c>
      <c r="U58">
        <v>0.4</v>
      </c>
    </row>
    <row r="59" spans="1:21" x14ac:dyDescent="0.3">
      <c r="A59" t="s">
        <v>264</v>
      </c>
      <c r="B59" t="s">
        <v>265</v>
      </c>
      <c r="C59" t="s">
        <v>20</v>
      </c>
      <c r="D59" t="s">
        <v>266</v>
      </c>
      <c r="E59" t="s">
        <v>22</v>
      </c>
      <c r="F59" t="s">
        <v>53</v>
      </c>
      <c r="G59">
        <v>1</v>
      </c>
      <c r="H59">
        <v>4895</v>
      </c>
      <c r="J59" t="s">
        <v>267</v>
      </c>
      <c r="K59">
        <v>0</v>
      </c>
      <c r="L59">
        <v>1985</v>
      </c>
      <c r="M59">
        <v>41</v>
      </c>
      <c r="N59" t="s">
        <v>2078</v>
      </c>
      <c r="O59" t="s">
        <v>2927</v>
      </c>
      <c r="P59">
        <v>88789.5</v>
      </c>
      <c r="Q59" t="s">
        <v>91</v>
      </c>
      <c r="R59">
        <v>0</v>
      </c>
      <c r="S59" t="e">
        <v>#VALUE!</v>
      </c>
      <c r="T59">
        <v>14212.8</v>
      </c>
      <c r="U59">
        <v>0</v>
      </c>
    </row>
    <row r="60" spans="1:21" x14ac:dyDescent="0.3">
      <c r="A60" t="s">
        <v>268</v>
      </c>
      <c r="B60" t="s">
        <v>269</v>
      </c>
      <c r="C60" t="s">
        <v>20</v>
      </c>
      <c r="D60" t="s">
        <v>270</v>
      </c>
      <c r="E60" t="s">
        <v>22</v>
      </c>
      <c r="F60" t="s">
        <v>53</v>
      </c>
      <c r="G60">
        <v>1</v>
      </c>
      <c r="H60">
        <v>10205</v>
      </c>
      <c r="J60" t="s">
        <v>271</v>
      </c>
      <c r="K60">
        <v>0</v>
      </c>
      <c r="L60">
        <v>2009</v>
      </c>
      <c r="M60">
        <v>17</v>
      </c>
      <c r="N60" t="s">
        <v>2080</v>
      </c>
      <c r="O60" t="s">
        <v>2928</v>
      </c>
      <c r="P60">
        <v>38162.400000000001</v>
      </c>
      <c r="Q60">
        <v>39902.300000000003</v>
      </c>
      <c r="R60">
        <v>2070.5</v>
      </c>
      <c r="S60">
        <v>19.271818401352331</v>
      </c>
      <c r="T60">
        <v>24193.7</v>
      </c>
      <c r="U60">
        <v>8.5599999999999996E-2</v>
      </c>
    </row>
    <row r="61" spans="1:21" x14ac:dyDescent="0.3">
      <c r="A61" t="s">
        <v>272</v>
      </c>
      <c r="B61" t="s">
        <v>273</v>
      </c>
      <c r="C61" t="s">
        <v>41</v>
      </c>
      <c r="D61" t="s">
        <v>274</v>
      </c>
      <c r="E61" t="s">
        <v>22</v>
      </c>
      <c r="F61" t="s">
        <v>67</v>
      </c>
      <c r="G61">
        <v>0</v>
      </c>
      <c r="H61">
        <v>23936</v>
      </c>
      <c r="J61" t="s">
        <v>275</v>
      </c>
      <c r="K61">
        <v>0</v>
      </c>
      <c r="L61">
        <v>1997</v>
      </c>
      <c r="M61">
        <v>29</v>
      </c>
      <c r="N61" t="s">
        <v>2082</v>
      </c>
      <c r="O61" t="s">
        <v>2927</v>
      </c>
      <c r="P61">
        <v>134274.4</v>
      </c>
      <c r="Q61">
        <v>136057.4</v>
      </c>
      <c r="R61">
        <v>10110</v>
      </c>
      <c r="S61">
        <v>13.457705242334322</v>
      </c>
      <c r="T61">
        <v>26917</v>
      </c>
      <c r="U61">
        <v>0.37559999999999999</v>
      </c>
    </row>
    <row r="62" spans="1:21" x14ac:dyDescent="0.3">
      <c r="A62" t="s">
        <v>276</v>
      </c>
      <c r="B62" t="s">
        <v>277</v>
      </c>
      <c r="C62" t="s">
        <v>20</v>
      </c>
      <c r="D62" t="s">
        <v>278</v>
      </c>
      <c r="E62" t="s">
        <v>22</v>
      </c>
      <c r="F62" t="s">
        <v>33</v>
      </c>
      <c r="G62">
        <v>0</v>
      </c>
      <c r="H62">
        <v>59000</v>
      </c>
      <c r="J62" t="s">
        <v>279</v>
      </c>
      <c r="K62">
        <v>0</v>
      </c>
      <c r="L62">
        <v>1979</v>
      </c>
      <c r="M62">
        <v>47</v>
      </c>
      <c r="N62" t="s">
        <v>2084</v>
      </c>
      <c r="O62" t="s">
        <v>2927</v>
      </c>
      <c r="P62">
        <v>114036.6</v>
      </c>
      <c r="Q62">
        <v>124282.6</v>
      </c>
      <c r="R62">
        <v>5339</v>
      </c>
      <c r="S62">
        <v>23.278254354748082</v>
      </c>
      <c r="T62">
        <v>20074</v>
      </c>
      <c r="U62">
        <v>0.26600000000000001</v>
      </c>
    </row>
    <row r="63" spans="1:21" x14ac:dyDescent="0.3">
      <c r="A63" t="s">
        <v>280</v>
      </c>
      <c r="B63" t="s">
        <v>281</v>
      </c>
      <c r="C63" t="s">
        <v>20</v>
      </c>
      <c r="D63" t="s">
        <v>282</v>
      </c>
      <c r="E63" t="s">
        <v>22</v>
      </c>
      <c r="F63" t="s">
        <v>33</v>
      </c>
      <c r="G63">
        <v>0</v>
      </c>
      <c r="H63">
        <v>32500</v>
      </c>
      <c r="J63" t="s">
        <v>283</v>
      </c>
      <c r="K63">
        <v>0</v>
      </c>
      <c r="L63">
        <v>1887</v>
      </c>
      <c r="M63">
        <v>139</v>
      </c>
      <c r="N63" t="s">
        <v>2086</v>
      </c>
      <c r="O63" t="s">
        <v>2927</v>
      </c>
      <c r="P63">
        <v>127014.9</v>
      </c>
      <c r="Q63">
        <v>163165.9</v>
      </c>
      <c r="R63">
        <v>19116</v>
      </c>
      <c r="S63">
        <v>8.5355670642393804</v>
      </c>
      <c r="T63">
        <v>48194</v>
      </c>
      <c r="U63">
        <v>0.39660000000000001</v>
      </c>
    </row>
    <row r="64" spans="1:21" x14ac:dyDescent="0.3">
      <c r="A64" t="s">
        <v>284</v>
      </c>
      <c r="B64" t="s">
        <v>285</v>
      </c>
      <c r="C64" t="s">
        <v>41</v>
      </c>
      <c r="D64" t="s">
        <v>286</v>
      </c>
      <c r="E64" t="s">
        <v>22</v>
      </c>
      <c r="F64" t="s">
        <v>43</v>
      </c>
      <c r="G64">
        <v>0</v>
      </c>
      <c r="H64">
        <v>33000</v>
      </c>
      <c r="J64" t="s">
        <v>287</v>
      </c>
      <c r="K64">
        <v>0</v>
      </c>
      <c r="L64">
        <v>1961</v>
      </c>
      <c r="M64">
        <v>65</v>
      </c>
      <c r="N64" t="s">
        <v>2088</v>
      </c>
      <c r="O64" t="s">
        <v>2928</v>
      </c>
      <c r="P64">
        <v>1515074</v>
      </c>
      <c r="Q64">
        <v>1565357</v>
      </c>
      <c r="R64">
        <v>35003</v>
      </c>
      <c r="S64">
        <v>44.720652515498671</v>
      </c>
      <c r="T64">
        <v>63887</v>
      </c>
      <c r="U64">
        <v>0.54790000000000005</v>
      </c>
    </row>
    <row r="65" spans="1:21" x14ac:dyDescent="0.3">
      <c r="A65" t="s">
        <v>288</v>
      </c>
      <c r="B65" t="s">
        <v>289</v>
      </c>
      <c r="C65" t="s">
        <v>20</v>
      </c>
      <c r="D65" t="s">
        <v>290</v>
      </c>
      <c r="E65" t="s">
        <v>22</v>
      </c>
      <c r="F65" t="s">
        <v>28</v>
      </c>
      <c r="G65">
        <v>0</v>
      </c>
      <c r="H65">
        <v>15000</v>
      </c>
      <c r="J65" t="s">
        <v>291</v>
      </c>
      <c r="K65">
        <v>0</v>
      </c>
      <c r="L65">
        <v>1962</v>
      </c>
      <c r="M65">
        <v>64</v>
      </c>
      <c r="N65" t="s">
        <v>2090</v>
      </c>
      <c r="O65" t="s">
        <v>2927</v>
      </c>
      <c r="P65">
        <v>21700.1</v>
      </c>
      <c r="Q65">
        <v>24702.3</v>
      </c>
      <c r="R65">
        <v>1740.6</v>
      </c>
      <c r="S65">
        <v>14.191830403309204</v>
      </c>
      <c r="T65">
        <v>7180.3</v>
      </c>
      <c r="U65">
        <v>0.2424</v>
      </c>
    </row>
    <row r="66" spans="1:21" x14ac:dyDescent="0.3">
      <c r="A66" t="s">
        <v>292</v>
      </c>
      <c r="B66" t="s">
        <v>293</v>
      </c>
      <c r="C66" t="s">
        <v>20</v>
      </c>
      <c r="D66" t="s">
        <v>294</v>
      </c>
      <c r="E66" t="s">
        <v>22</v>
      </c>
      <c r="F66" t="s">
        <v>53</v>
      </c>
      <c r="G66">
        <v>1</v>
      </c>
      <c r="H66">
        <v>22888</v>
      </c>
      <c r="J66" t="s">
        <v>295</v>
      </c>
      <c r="K66">
        <v>0</v>
      </c>
      <c r="L66">
        <v>1939</v>
      </c>
      <c r="M66">
        <v>87</v>
      </c>
      <c r="N66" t="s">
        <v>2092</v>
      </c>
      <c r="O66" t="s">
        <v>2927</v>
      </c>
      <c r="P66">
        <v>24449</v>
      </c>
      <c r="Q66">
        <v>31314</v>
      </c>
      <c r="R66">
        <v>1982</v>
      </c>
      <c r="S66">
        <v>15.799192734611504</v>
      </c>
      <c r="T66">
        <v>5763</v>
      </c>
      <c r="U66">
        <v>0.34389999999999998</v>
      </c>
    </row>
    <row r="67" spans="1:21" x14ac:dyDescent="0.3">
      <c r="A67" t="s">
        <v>296</v>
      </c>
      <c r="B67" t="s">
        <v>297</v>
      </c>
      <c r="C67" t="s">
        <v>20</v>
      </c>
      <c r="D67" t="s">
        <v>298</v>
      </c>
      <c r="E67" t="s">
        <v>22</v>
      </c>
      <c r="F67" t="s">
        <v>100</v>
      </c>
      <c r="G67">
        <v>0</v>
      </c>
      <c r="H67">
        <v>5000</v>
      </c>
      <c r="J67" t="s">
        <v>299</v>
      </c>
      <c r="K67">
        <v>0</v>
      </c>
      <c r="L67">
        <v>1870</v>
      </c>
      <c r="M67">
        <v>156</v>
      </c>
      <c r="N67" t="s">
        <v>2094</v>
      </c>
      <c r="O67" t="s">
        <v>2927</v>
      </c>
      <c r="P67">
        <v>13368.2</v>
      </c>
      <c r="Q67">
        <v>15696.2</v>
      </c>
      <c r="R67">
        <v>1174</v>
      </c>
      <c r="S67">
        <v>13.369846678023851</v>
      </c>
      <c r="T67">
        <v>3889</v>
      </c>
      <c r="U67">
        <v>0.3019</v>
      </c>
    </row>
    <row r="68" spans="1:21" x14ac:dyDescent="0.3">
      <c r="A68" t="s">
        <v>300</v>
      </c>
      <c r="B68" t="s">
        <v>301</v>
      </c>
      <c r="C68" t="s">
        <v>20</v>
      </c>
      <c r="D68" t="s">
        <v>302</v>
      </c>
      <c r="E68" t="s">
        <v>22</v>
      </c>
      <c r="F68" t="s">
        <v>28</v>
      </c>
      <c r="G68">
        <v>0</v>
      </c>
      <c r="H68">
        <v>28000</v>
      </c>
      <c r="J68" t="s">
        <v>303</v>
      </c>
      <c r="K68">
        <v>0</v>
      </c>
      <c r="L68">
        <v>1998</v>
      </c>
      <c r="M68">
        <v>28</v>
      </c>
      <c r="N68" t="s">
        <v>2096</v>
      </c>
      <c r="O68" t="s">
        <v>2927</v>
      </c>
      <c r="P68">
        <v>11535</v>
      </c>
      <c r="Q68">
        <v>16453.5</v>
      </c>
      <c r="R68">
        <v>1377.7</v>
      </c>
      <c r="S68">
        <v>11.942730638019889</v>
      </c>
      <c r="T68">
        <v>15190.6</v>
      </c>
      <c r="U68">
        <v>9.0700000000000003E-2</v>
      </c>
    </row>
    <row r="69" spans="1:21" x14ac:dyDescent="0.3">
      <c r="A69" t="s">
        <v>304</v>
      </c>
      <c r="B69" t="s">
        <v>305</v>
      </c>
      <c r="C69" t="s">
        <v>20</v>
      </c>
      <c r="D69" t="s">
        <v>306</v>
      </c>
      <c r="E69" t="s">
        <v>22</v>
      </c>
      <c r="F69" t="s">
        <v>100</v>
      </c>
      <c r="G69">
        <v>0</v>
      </c>
      <c r="H69">
        <v>34000</v>
      </c>
      <c r="J69" t="s">
        <v>307</v>
      </c>
      <c r="K69">
        <v>0</v>
      </c>
      <c r="L69">
        <v>1818</v>
      </c>
      <c r="M69">
        <v>208</v>
      </c>
      <c r="N69" t="s">
        <v>2098</v>
      </c>
      <c r="O69" t="s">
        <v>2927</v>
      </c>
      <c r="P69">
        <v>23346.9</v>
      </c>
      <c r="Q69">
        <v>38723.9</v>
      </c>
      <c r="R69">
        <v>2095</v>
      </c>
      <c r="S69">
        <v>18.483961813842484</v>
      </c>
      <c r="T69">
        <v>70329</v>
      </c>
      <c r="U69">
        <v>2.98E-2</v>
      </c>
    </row>
    <row r="70" spans="1:21" x14ac:dyDescent="0.3">
      <c r="A70" t="s">
        <v>308</v>
      </c>
      <c r="B70" t="s">
        <v>309</v>
      </c>
      <c r="C70" t="s">
        <v>20</v>
      </c>
      <c r="D70" t="s">
        <v>310</v>
      </c>
      <c r="E70" t="s">
        <v>22</v>
      </c>
      <c r="F70" t="s">
        <v>80</v>
      </c>
      <c r="G70">
        <v>0</v>
      </c>
      <c r="H70">
        <v>816</v>
      </c>
      <c r="J70" t="s">
        <v>311</v>
      </c>
      <c r="K70">
        <v>0</v>
      </c>
      <c r="L70">
        <v>1970</v>
      </c>
      <c r="M70">
        <v>56</v>
      </c>
      <c r="N70" t="s">
        <v>2100</v>
      </c>
      <c r="O70" t="s">
        <v>2927</v>
      </c>
      <c r="P70">
        <v>9133.9</v>
      </c>
      <c r="Q70">
        <v>27560.2</v>
      </c>
      <c r="R70">
        <v>1611</v>
      </c>
      <c r="S70">
        <v>17.107510862818128</v>
      </c>
      <c r="T70">
        <v>3153.1</v>
      </c>
      <c r="U70">
        <v>0.51090000000000002</v>
      </c>
    </row>
    <row r="71" spans="1:21" x14ac:dyDescent="0.3">
      <c r="A71" t="s">
        <v>312</v>
      </c>
      <c r="B71" t="s">
        <v>313</v>
      </c>
      <c r="C71" t="s">
        <v>41</v>
      </c>
      <c r="D71" t="s">
        <v>314</v>
      </c>
      <c r="E71" t="s">
        <v>22</v>
      </c>
      <c r="F71" t="s">
        <v>28</v>
      </c>
      <c r="G71">
        <v>0</v>
      </c>
      <c r="H71">
        <v>11796</v>
      </c>
      <c r="J71" t="s">
        <v>315</v>
      </c>
      <c r="K71">
        <v>0</v>
      </c>
      <c r="L71">
        <v>1905</v>
      </c>
      <c r="M71">
        <v>121</v>
      </c>
      <c r="N71" t="s">
        <v>2102</v>
      </c>
      <c r="O71" t="s">
        <v>2927</v>
      </c>
      <c r="P71">
        <v>21974.5</v>
      </c>
      <c r="Q71">
        <v>23209</v>
      </c>
      <c r="R71">
        <v>875</v>
      </c>
      <c r="S71">
        <v>26.524571428571427</v>
      </c>
      <c r="T71">
        <v>16232.8</v>
      </c>
      <c r="U71">
        <v>5.3900000000000003E-2</v>
      </c>
    </row>
    <row r="72" spans="1:21" x14ac:dyDescent="0.3">
      <c r="A72" t="s">
        <v>316</v>
      </c>
      <c r="B72" t="s">
        <v>317</v>
      </c>
      <c r="C72" t="s">
        <v>41</v>
      </c>
      <c r="D72" t="s">
        <v>318</v>
      </c>
      <c r="E72" t="s">
        <v>22</v>
      </c>
      <c r="F72" t="s">
        <v>43</v>
      </c>
      <c r="G72">
        <v>0</v>
      </c>
      <c r="H72">
        <v>13800</v>
      </c>
      <c r="J72" t="s">
        <v>319</v>
      </c>
      <c r="K72">
        <v>0</v>
      </c>
      <c r="L72">
        <v>1987</v>
      </c>
      <c r="M72">
        <v>39</v>
      </c>
      <c r="N72" t="s">
        <v>2104</v>
      </c>
      <c r="O72" t="s">
        <v>2928</v>
      </c>
      <c r="P72">
        <v>83214.3</v>
      </c>
      <c r="Q72">
        <v>82725.100000000006</v>
      </c>
      <c r="R72">
        <v>1908.1</v>
      </c>
      <c r="S72">
        <v>43.354698391069654</v>
      </c>
      <c r="T72">
        <v>5296.8</v>
      </c>
      <c r="U72">
        <v>0.36020000000000002</v>
      </c>
    </row>
    <row r="73" spans="1:21" x14ac:dyDescent="0.3">
      <c r="A73" t="s">
        <v>320</v>
      </c>
      <c r="B73" t="s">
        <v>321</v>
      </c>
      <c r="C73" t="s">
        <v>20</v>
      </c>
      <c r="D73" t="s">
        <v>322</v>
      </c>
      <c r="E73" t="s">
        <v>22</v>
      </c>
      <c r="F73" t="s">
        <v>80</v>
      </c>
      <c r="G73">
        <v>0</v>
      </c>
      <c r="H73">
        <v>1640</v>
      </c>
      <c r="J73" t="s">
        <v>323</v>
      </c>
      <c r="K73">
        <v>0</v>
      </c>
      <c r="L73">
        <v>1993</v>
      </c>
      <c r="M73">
        <v>33</v>
      </c>
      <c r="N73" t="s">
        <v>2106</v>
      </c>
      <c r="O73" t="s">
        <v>2927</v>
      </c>
      <c r="P73">
        <v>11404.7</v>
      </c>
      <c r="Q73">
        <v>15378.7</v>
      </c>
      <c r="R73">
        <v>899.9</v>
      </c>
      <c r="S73">
        <v>17.089343260362263</v>
      </c>
      <c r="T73">
        <v>1586.8</v>
      </c>
      <c r="U73">
        <v>0.56710000000000005</v>
      </c>
    </row>
    <row r="74" spans="1:21" x14ac:dyDescent="0.3">
      <c r="A74" t="s">
        <v>324</v>
      </c>
      <c r="B74" t="s">
        <v>325</v>
      </c>
      <c r="C74" t="s">
        <v>20</v>
      </c>
      <c r="D74" t="s">
        <v>326</v>
      </c>
      <c r="E74" t="s">
        <v>22</v>
      </c>
      <c r="F74" t="s">
        <v>53</v>
      </c>
      <c r="G74">
        <v>1</v>
      </c>
      <c r="H74">
        <v>76300</v>
      </c>
      <c r="J74" t="s">
        <v>327</v>
      </c>
      <c r="K74">
        <v>0</v>
      </c>
      <c r="L74">
        <v>1988</v>
      </c>
      <c r="M74">
        <v>38</v>
      </c>
      <c r="N74" t="s">
        <v>2108</v>
      </c>
      <c r="O74" t="s">
        <v>2927</v>
      </c>
      <c r="P74">
        <v>121674.7</v>
      </c>
      <c r="Q74" t="s">
        <v>91</v>
      </c>
      <c r="R74">
        <v>0</v>
      </c>
      <c r="S74" t="e">
        <v>#VALUE!</v>
      </c>
      <c r="T74">
        <v>32779</v>
      </c>
      <c r="U74">
        <v>0</v>
      </c>
    </row>
    <row r="75" spans="1:21" x14ac:dyDescent="0.3">
      <c r="A75" t="s">
        <v>328</v>
      </c>
      <c r="B75" t="s">
        <v>329</v>
      </c>
      <c r="C75" t="s">
        <v>20</v>
      </c>
      <c r="D75" t="s">
        <v>330</v>
      </c>
      <c r="E75" t="s">
        <v>22</v>
      </c>
      <c r="F75" t="s">
        <v>33</v>
      </c>
      <c r="G75">
        <v>0</v>
      </c>
      <c r="H75">
        <v>55392</v>
      </c>
      <c r="J75" t="s">
        <v>331</v>
      </c>
      <c r="K75">
        <v>0</v>
      </c>
      <c r="L75">
        <v>1979</v>
      </c>
      <c r="M75">
        <v>47</v>
      </c>
      <c r="N75" t="s">
        <v>2110</v>
      </c>
      <c r="O75" t="s">
        <v>2927</v>
      </c>
      <c r="P75">
        <v>53941.5</v>
      </c>
      <c r="Q75">
        <v>60375.5</v>
      </c>
      <c r="R75">
        <v>3823</v>
      </c>
      <c r="S75">
        <v>15.792702066439968</v>
      </c>
      <c r="T75">
        <v>244673</v>
      </c>
      <c r="U75">
        <v>1.5599999999999999E-2</v>
      </c>
    </row>
    <row r="76" spans="1:21" x14ac:dyDescent="0.3">
      <c r="A76" t="s">
        <v>332</v>
      </c>
      <c r="B76" t="s">
        <v>333</v>
      </c>
      <c r="C76" t="s">
        <v>20</v>
      </c>
      <c r="D76" t="s">
        <v>334</v>
      </c>
      <c r="E76" t="s">
        <v>22</v>
      </c>
      <c r="F76" t="s">
        <v>67</v>
      </c>
      <c r="G76">
        <v>0</v>
      </c>
      <c r="H76">
        <v>160000</v>
      </c>
      <c r="J76" t="s">
        <v>335</v>
      </c>
      <c r="K76">
        <v>0</v>
      </c>
      <c r="L76">
        <v>1972</v>
      </c>
      <c r="M76">
        <v>54</v>
      </c>
      <c r="N76" t="s">
        <v>2112</v>
      </c>
      <c r="O76" t="s">
        <v>2927</v>
      </c>
      <c r="P76">
        <v>43712.5</v>
      </c>
      <c r="Q76">
        <v>69777.5</v>
      </c>
      <c r="R76">
        <v>7149</v>
      </c>
      <c r="S76">
        <v>9.7604560078332643</v>
      </c>
      <c r="T76">
        <v>26622</v>
      </c>
      <c r="U76">
        <v>0.26850000000000002</v>
      </c>
    </row>
    <row r="77" spans="1:21" x14ac:dyDescent="0.3">
      <c r="A77" t="s">
        <v>336</v>
      </c>
      <c r="B77" t="s">
        <v>337</v>
      </c>
      <c r="C77" t="s">
        <v>20</v>
      </c>
      <c r="D77" t="s">
        <v>338</v>
      </c>
      <c r="E77" t="s">
        <v>22</v>
      </c>
      <c r="F77" t="s">
        <v>28</v>
      </c>
      <c r="G77">
        <v>0</v>
      </c>
      <c r="H77">
        <v>47000</v>
      </c>
      <c r="J77" t="s">
        <v>339</v>
      </c>
      <c r="K77">
        <v>0</v>
      </c>
      <c r="L77">
        <v>2019</v>
      </c>
      <c r="M77">
        <v>7</v>
      </c>
      <c r="N77" t="s">
        <v>2114</v>
      </c>
      <c r="O77" t="s">
        <v>2927</v>
      </c>
      <c r="P77">
        <v>53828.3</v>
      </c>
      <c r="Q77">
        <v>64990.3</v>
      </c>
      <c r="R77">
        <v>3378</v>
      </c>
      <c r="S77">
        <v>19.239283599763173</v>
      </c>
      <c r="T77">
        <v>21747</v>
      </c>
      <c r="U77">
        <v>0.15529999999999999</v>
      </c>
    </row>
    <row r="78" spans="1:21" x14ac:dyDescent="0.3">
      <c r="A78" t="s">
        <v>340</v>
      </c>
      <c r="B78" t="s">
        <v>341</v>
      </c>
      <c r="C78" t="s">
        <v>20</v>
      </c>
      <c r="D78" t="s">
        <v>342</v>
      </c>
      <c r="E78" t="s">
        <v>22</v>
      </c>
      <c r="F78" t="s">
        <v>67</v>
      </c>
      <c r="G78">
        <v>0</v>
      </c>
      <c r="H78">
        <v>23100</v>
      </c>
      <c r="J78" t="s">
        <v>343</v>
      </c>
      <c r="K78">
        <v>0</v>
      </c>
      <c r="L78">
        <v>2012</v>
      </c>
      <c r="M78">
        <v>14</v>
      </c>
      <c r="N78" t="s">
        <v>2116</v>
      </c>
      <c r="O78" t="s">
        <v>2927</v>
      </c>
      <c r="P78">
        <v>47696.7</v>
      </c>
      <c r="Q78">
        <v>51240.7</v>
      </c>
      <c r="R78">
        <v>2159</v>
      </c>
      <c r="S78">
        <v>23.733534043538675</v>
      </c>
      <c r="T78">
        <v>20322</v>
      </c>
      <c r="U78">
        <v>0.1062</v>
      </c>
    </row>
    <row r="79" spans="1:21" x14ac:dyDescent="0.3">
      <c r="A79" t="s">
        <v>344</v>
      </c>
      <c r="B79" t="s">
        <v>345</v>
      </c>
      <c r="C79" t="s">
        <v>20</v>
      </c>
      <c r="D79" t="s">
        <v>346</v>
      </c>
      <c r="E79" t="s">
        <v>22</v>
      </c>
      <c r="F79" t="s">
        <v>28</v>
      </c>
      <c r="G79">
        <v>0</v>
      </c>
      <c r="H79">
        <v>118000</v>
      </c>
      <c r="J79" t="s">
        <v>347</v>
      </c>
      <c r="K79">
        <v>0</v>
      </c>
      <c r="L79">
        <v>1925</v>
      </c>
      <c r="M79">
        <v>101</v>
      </c>
      <c r="N79" t="s">
        <v>2118</v>
      </c>
      <c r="O79" t="s">
        <v>2927</v>
      </c>
      <c r="P79">
        <v>345629.4</v>
      </c>
      <c r="Q79">
        <v>380354.4</v>
      </c>
      <c r="R79">
        <v>13961</v>
      </c>
      <c r="S79">
        <v>27.244065611345892</v>
      </c>
      <c r="T79">
        <v>67589</v>
      </c>
      <c r="U79">
        <v>0.20660000000000001</v>
      </c>
    </row>
    <row r="80" spans="1:21" x14ac:dyDescent="0.3">
      <c r="A80" t="s">
        <v>348</v>
      </c>
      <c r="B80" t="s">
        <v>349</v>
      </c>
      <c r="C80" t="s">
        <v>350</v>
      </c>
      <c r="D80" t="s">
        <v>351</v>
      </c>
      <c r="E80" t="s">
        <v>22</v>
      </c>
      <c r="F80" t="s">
        <v>53</v>
      </c>
      <c r="G80">
        <v>1</v>
      </c>
      <c r="H80">
        <v>1661</v>
      </c>
      <c r="J80" t="s">
        <v>352</v>
      </c>
      <c r="K80">
        <v>0</v>
      </c>
      <c r="L80">
        <v>1973</v>
      </c>
      <c r="M80">
        <v>53</v>
      </c>
      <c r="N80" t="s">
        <v>2120</v>
      </c>
      <c r="O80" t="s">
        <v>2927</v>
      </c>
      <c r="P80">
        <v>31371</v>
      </c>
      <c r="Q80">
        <v>30744.9</v>
      </c>
      <c r="R80">
        <v>1633.3</v>
      </c>
      <c r="S80">
        <v>18.823792322292292</v>
      </c>
      <c r="T80">
        <v>4714.2</v>
      </c>
      <c r="U80">
        <v>0.34649999999999997</v>
      </c>
    </row>
    <row r="81" spans="1:21" x14ac:dyDescent="0.3">
      <c r="A81" t="s">
        <v>353</v>
      </c>
      <c r="B81" t="s">
        <v>354</v>
      </c>
      <c r="C81" t="s">
        <v>20</v>
      </c>
      <c r="D81" t="s">
        <v>355</v>
      </c>
      <c r="E81" t="s">
        <v>22</v>
      </c>
      <c r="F81" t="s">
        <v>80</v>
      </c>
      <c r="G81">
        <v>0</v>
      </c>
      <c r="H81">
        <v>155000</v>
      </c>
      <c r="J81" t="s">
        <v>356</v>
      </c>
      <c r="K81">
        <v>0</v>
      </c>
      <c r="L81">
        <v>1906</v>
      </c>
      <c r="M81">
        <v>120</v>
      </c>
      <c r="N81" t="s">
        <v>2122</v>
      </c>
      <c r="O81" t="s">
        <v>2927</v>
      </c>
      <c r="P81">
        <v>42904.5</v>
      </c>
      <c r="Q81">
        <v>52015.5</v>
      </c>
      <c r="R81">
        <v>2222</v>
      </c>
      <c r="S81">
        <v>23.409315931593159</v>
      </c>
      <c r="T81">
        <v>40550</v>
      </c>
      <c r="U81">
        <v>5.4800000000000001E-2</v>
      </c>
    </row>
    <row r="82" spans="1:21" x14ac:dyDescent="0.3">
      <c r="A82" t="s">
        <v>357</v>
      </c>
      <c r="B82" t="s">
        <v>358</v>
      </c>
      <c r="C82" t="s">
        <v>41</v>
      </c>
      <c r="D82" t="s">
        <v>359</v>
      </c>
      <c r="E82" t="s">
        <v>22</v>
      </c>
      <c r="F82" t="s">
        <v>43</v>
      </c>
      <c r="G82">
        <v>0</v>
      </c>
      <c r="H82">
        <v>14800</v>
      </c>
      <c r="I82" t="s">
        <v>360</v>
      </c>
      <c r="J82" t="s">
        <v>361</v>
      </c>
      <c r="K82">
        <v>1</v>
      </c>
      <c r="L82">
        <v>1984</v>
      </c>
      <c r="M82">
        <v>42</v>
      </c>
      <c r="N82" t="s">
        <v>2124</v>
      </c>
      <c r="O82" t="s">
        <v>2927</v>
      </c>
      <c r="P82">
        <v>15819.8</v>
      </c>
      <c r="Q82">
        <v>21374.2</v>
      </c>
      <c r="R82">
        <v>1967.4</v>
      </c>
      <c r="S82">
        <v>10.864186235640947</v>
      </c>
      <c r="T82">
        <v>22424.1</v>
      </c>
      <c r="U82">
        <v>8.77E-2</v>
      </c>
    </row>
    <row r="83" spans="1:21" x14ac:dyDescent="0.3">
      <c r="A83" t="s">
        <v>362</v>
      </c>
      <c r="B83" t="s">
        <v>363</v>
      </c>
      <c r="C83" t="s">
        <v>20</v>
      </c>
      <c r="D83" t="s">
        <v>364</v>
      </c>
      <c r="E83" t="s">
        <v>22</v>
      </c>
      <c r="F83" t="s">
        <v>33</v>
      </c>
      <c r="G83">
        <v>0</v>
      </c>
      <c r="H83">
        <v>49000</v>
      </c>
      <c r="J83" t="s">
        <v>365</v>
      </c>
      <c r="K83">
        <v>0</v>
      </c>
      <c r="L83">
        <v>1871</v>
      </c>
      <c r="M83">
        <v>155</v>
      </c>
      <c r="N83" t="s">
        <v>2126</v>
      </c>
      <c r="O83" t="s">
        <v>2927</v>
      </c>
      <c r="P83">
        <v>72392.600000000006</v>
      </c>
      <c r="Q83">
        <v>80732.399999999994</v>
      </c>
      <c r="R83">
        <v>4961.6000000000004</v>
      </c>
      <c r="S83">
        <v>16.271444695259593</v>
      </c>
      <c r="T83">
        <v>325777.8</v>
      </c>
      <c r="U83">
        <v>1.52E-2</v>
      </c>
    </row>
    <row r="84" spans="1:21" x14ac:dyDescent="0.3">
      <c r="A84" t="s">
        <v>366</v>
      </c>
      <c r="B84" t="s">
        <v>367</v>
      </c>
      <c r="C84" t="s">
        <v>20</v>
      </c>
      <c r="D84" t="s">
        <v>368</v>
      </c>
      <c r="E84" t="s">
        <v>22</v>
      </c>
      <c r="F84" t="s">
        <v>33</v>
      </c>
      <c r="G84">
        <v>0</v>
      </c>
      <c r="H84">
        <v>61100</v>
      </c>
      <c r="I84" t="s">
        <v>369</v>
      </c>
      <c r="J84" t="s">
        <v>369</v>
      </c>
      <c r="K84">
        <v>1</v>
      </c>
      <c r="L84">
        <v>1984</v>
      </c>
      <c r="M84">
        <v>42</v>
      </c>
      <c r="N84" t="s">
        <v>2128</v>
      </c>
      <c r="O84" t="s">
        <v>2927</v>
      </c>
      <c r="P84">
        <v>22070.7</v>
      </c>
      <c r="Q84">
        <v>22447.7</v>
      </c>
      <c r="R84">
        <v>2561</v>
      </c>
      <c r="S84">
        <v>8.7652089027723541</v>
      </c>
      <c r="T84">
        <v>176151</v>
      </c>
      <c r="U84">
        <v>1.4500000000000001E-2</v>
      </c>
    </row>
    <row r="85" spans="1:21" x14ac:dyDescent="0.3">
      <c r="A85" t="s">
        <v>370</v>
      </c>
      <c r="B85" t="s">
        <v>371</v>
      </c>
      <c r="C85" t="s">
        <v>20</v>
      </c>
      <c r="D85" t="s">
        <v>372</v>
      </c>
      <c r="E85" t="s">
        <v>22</v>
      </c>
      <c r="F85" t="s">
        <v>89</v>
      </c>
      <c r="G85">
        <v>0</v>
      </c>
      <c r="H85">
        <v>8794</v>
      </c>
      <c r="J85" t="s">
        <v>373</v>
      </c>
      <c r="K85">
        <v>0</v>
      </c>
      <c r="L85">
        <v>1866</v>
      </c>
      <c r="M85">
        <v>160</v>
      </c>
      <c r="N85" t="s">
        <v>2130</v>
      </c>
      <c r="O85" t="s">
        <v>2927</v>
      </c>
      <c r="P85">
        <v>28399.9</v>
      </c>
      <c r="Q85">
        <v>50893.9</v>
      </c>
      <c r="R85">
        <v>3593</v>
      </c>
      <c r="S85">
        <v>14.164736988588924</v>
      </c>
      <c r="T85">
        <v>9357</v>
      </c>
      <c r="U85">
        <v>0.38400000000000001</v>
      </c>
    </row>
    <row r="86" spans="1:21" x14ac:dyDescent="0.3">
      <c r="A86" t="s">
        <v>374</v>
      </c>
      <c r="B86" t="s">
        <v>375</v>
      </c>
      <c r="C86" t="s">
        <v>20</v>
      </c>
      <c r="D86" t="s">
        <v>376</v>
      </c>
      <c r="E86" t="s">
        <v>22</v>
      </c>
      <c r="F86" t="s">
        <v>62</v>
      </c>
      <c r="G86">
        <v>0</v>
      </c>
      <c r="H86">
        <v>2900</v>
      </c>
      <c r="J86" t="s">
        <v>377</v>
      </c>
      <c r="K86">
        <v>0</v>
      </c>
      <c r="L86">
        <v>1946</v>
      </c>
      <c r="M86">
        <v>80</v>
      </c>
      <c r="N86" t="s">
        <v>2132</v>
      </c>
      <c r="O86" t="s">
        <v>2927</v>
      </c>
      <c r="P86">
        <v>15296.2</v>
      </c>
      <c r="Q86">
        <v>19887.2</v>
      </c>
      <c r="R86">
        <v>3240</v>
      </c>
      <c r="S86">
        <v>6.1380246913580248</v>
      </c>
      <c r="T86">
        <v>7084</v>
      </c>
      <c r="U86">
        <v>0.45739999999999997</v>
      </c>
    </row>
    <row r="87" spans="1:21" x14ac:dyDescent="0.3">
      <c r="A87" t="s">
        <v>378</v>
      </c>
      <c r="B87" t="s">
        <v>379</v>
      </c>
      <c r="C87" t="s">
        <v>20</v>
      </c>
      <c r="D87" t="s">
        <v>380</v>
      </c>
      <c r="E87" t="s">
        <v>22</v>
      </c>
      <c r="F87" t="s">
        <v>33</v>
      </c>
      <c r="G87">
        <v>0</v>
      </c>
      <c r="H87">
        <v>19000</v>
      </c>
      <c r="J87" t="s">
        <v>381</v>
      </c>
      <c r="K87">
        <v>0</v>
      </c>
      <c r="L87">
        <v>1947</v>
      </c>
      <c r="M87">
        <v>79</v>
      </c>
      <c r="N87" t="s">
        <v>2134</v>
      </c>
      <c r="O87" t="s">
        <v>2927</v>
      </c>
      <c r="P87">
        <v>8786.7000000000007</v>
      </c>
      <c r="Q87">
        <v>11250.9</v>
      </c>
      <c r="R87">
        <v>876.6</v>
      </c>
      <c r="S87">
        <v>12.8347022587269</v>
      </c>
      <c r="T87">
        <v>4015.4</v>
      </c>
      <c r="U87">
        <v>0.21829999999999999</v>
      </c>
    </row>
    <row r="88" spans="1:21" x14ac:dyDescent="0.3">
      <c r="A88" t="s">
        <v>382</v>
      </c>
      <c r="B88" t="s">
        <v>383</v>
      </c>
      <c r="C88" t="s">
        <v>41</v>
      </c>
      <c r="D88" t="s">
        <v>384</v>
      </c>
      <c r="E88" t="s">
        <v>22</v>
      </c>
      <c r="F88" t="s">
        <v>95</v>
      </c>
      <c r="G88">
        <v>0</v>
      </c>
      <c r="H88">
        <v>91900</v>
      </c>
      <c r="J88" t="s">
        <v>385</v>
      </c>
      <c r="K88">
        <v>0</v>
      </c>
      <c r="L88">
        <v>1993</v>
      </c>
      <c r="M88">
        <v>33</v>
      </c>
      <c r="N88" t="s">
        <v>2136</v>
      </c>
      <c r="O88" t="s">
        <v>2927</v>
      </c>
      <c r="P88">
        <v>29711.599999999999</v>
      </c>
      <c r="Q88">
        <v>132668.6</v>
      </c>
      <c r="R88">
        <v>22058</v>
      </c>
      <c r="S88">
        <v>6.0145344092846136</v>
      </c>
      <c r="T88">
        <v>54774</v>
      </c>
      <c r="U88">
        <v>0.4027</v>
      </c>
    </row>
    <row r="89" spans="1:21" x14ac:dyDescent="0.3">
      <c r="A89" t="s">
        <v>386</v>
      </c>
      <c r="B89" t="s">
        <v>387</v>
      </c>
      <c r="C89" t="s">
        <v>20</v>
      </c>
      <c r="D89" t="s">
        <v>388</v>
      </c>
      <c r="E89" t="s">
        <v>22</v>
      </c>
      <c r="F89" t="s">
        <v>153</v>
      </c>
      <c r="G89">
        <v>0</v>
      </c>
      <c r="H89">
        <v>43039</v>
      </c>
      <c r="J89" t="s">
        <v>389</v>
      </c>
      <c r="K89">
        <v>0</v>
      </c>
      <c r="L89">
        <v>1879</v>
      </c>
      <c r="M89">
        <v>147</v>
      </c>
      <c r="N89" t="s">
        <v>2138</v>
      </c>
      <c r="O89" t="s">
        <v>2927</v>
      </c>
      <c r="P89">
        <v>372658.2</v>
      </c>
      <c r="Q89">
        <v>418830.2</v>
      </c>
      <c r="R89">
        <v>37631</v>
      </c>
      <c r="S89">
        <v>11.129924796045813</v>
      </c>
      <c r="T89">
        <v>184654</v>
      </c>
      <c r="U89">
        <v>0.20380000000000001</v>
      </c>
    </row>
    <row r="90" spans="1:21" x14ac:dyDescent="0.3">
      <c r="A90" t="s">
        <v>390</v>
      </c>
      <c r="B90" t="s">
        <v>391</v>
      </c>
      <c r="C90" t="s">
        <v>20</v>
      </c>
      <c r="D90" t="s">
        <v>392</v>
      </c>
      <c r="E90" t="s">
        <v>22</v>
      </c>
      <c r="F90" t="s">
        <v>67</v>
      </c>
      <c r="G90">
        <v>0</v>
      </c>
      <c r="H90">
        <v>130301</v>
      </c>
      <c r="J90" t="s">
        <v>393</v>
      </c>
      <c r="K90">
        <v>0</v>
      </c>
      <c r="L90">
        <v>1993</v>
      </c>
      <c r="M90">
        <v>33</v>
      </c>
      <c r="N90" t="s">
        <v>2140</v>
      </c>
      <c r="O90" t="s">
        <v>2928</v>
      </c>
      <c r="P90">
        <v>48476.2</v>
      </c>
      <c r="Q90">
        <v>52502.9</v>
      </c>
      <c r="R90">
        <v>2381.9</v>
      </c>
      <c r="S90">
        <v>22.042445106847474</v>
      </c>
      <c r="T90">
        <v>11925.6</v>
      </c>
      <c r="U90">
        <v>0.19969999999999999</v>
      </c>
    </row>
    <row r="91" spans="1:21" x14ac:dyDescent="0.3">
      <c r="A91" t="s">
        <v>394</v>
      </c>
      <c r="B91" t="s">
        <v>395</v>
      </c>
      <c r="C91" t="s">
        <v>20</v>
      </c>
      <c r="D91" t="s">
        <v>396</v>
      </c>
      <c r="E91" t="s">
        <v>22</v>
      </c>
      <c r="F91" t="s">
        <v>100</v>
      </c>
      <c r="G91">
        <v>0</v>
      </c>
      <c r="H91">
        <v>5550</v>
      </c>
      <c r="J91" t="s">
        <v>397</v>
      </c>
      <c r="K91">
        <v>0</v>
      </c>
      <c r="L91">
        <v>1846</v>
      </c>
      <c r="M91">
        <v>180</v>
      </c>
      <c r="N91" t="s">
        <v>2142</v>
      </c>
      <c r="O91" t="s">
        <v>2927</v>
      </c>
      <c r="P91">
        <v>24819.8</v>
      </c>
      <c r="Q91">
        <v>26792.799999999999</v>
      </c>
      <c r="R91">
        <v>1382.4</v>
      </c>
      <c r="S91">
        <v>19.38136574074074</v>
      </c>
      <c r="T91">
        <v>6203.2</v>
      </c>
      <c r="U91">
        <v>0.22289999999999999</v>
      </c>
    </row>
    <row r="92" spans="1:21" x14ac:dyDescent="0.3">
      <c r="A92" t="s">
        <v>398</v>
      </c>
      <c r="B92" t="s">
        <v>399</v>
      </c>
      <c r="C92" t="s">
        <v>20</v>
      </c>
      <c r="D92" t="s">
        <v>400</v>
      </c>
      <c r="E92" t="s">
        <v>22</v>
      </c>
      <c r="F92" t="s">
        <v>43</v>
      </c>
      <c r="G92">
        <v>0</v>
      </c>
      <c r="H92">
        <v>8989</v>
      </c>
      <c r="J92" t="s">
        <v>401</v>
      </c>
      <c r="K92">
        <v>0</v>
      </c>
      <c r="L92">
        <v>1992</v>
      </c>
      <c r="M92">
        <v>34</v>
      </c>
      <c r="N92" t="s">
        <v>2144</v>
      </c>
      <c r="O92" t="s">
        <v>2927</v>
      </c>
      <c r="P92">
        <v>49328.3</v>
      </c>
      <c r="Q92">
        <v>49590</v>
      </c>
      <c r="R92">
        <v>451.1</v>
      </c>
      <c r="S92">
        <v>109.93127909554423</v>
      </c>
      <c r="T92">
        <v>4769.5</v>
      </c>
      <c r="U92">
        <v>9.4600000000000004E-2</v>
      </c>
    </row>
    <row r="93" spans="1:21" x14ac:dyDescent="0.3">
      <c r="A93" t="s">
        <v>402</v>
      </c>
      <c r="B93" t="s">
        <v>403</v>
      </c>
      <c r="C93" t="s">
        <v>41</v>
      </c>
      <c r="D93" t="s">
        <v>404</v>
      </c>
      <c r="E93" t="s">
        <v>22</v>
      </c>
      <c r="F93" t="s">
        <v>53</v>
      </c>
      <c r="G93">
        <v>1</v>
      </c>
      <c r="H93">
        <v>5705</v>
      </c>
      <c r="J93" t="s">
        <v>405</v>
      </c>
      <c r="K93">
        <v>0</v>
      </c>
      <c r="L93">
        <v>1950</v>
      </c>
      <c r="M93">
        <v>76</v>
      </c>
      <c r="N93" t="s">
        <v>2146</v>
      </c>
      <c r="O93" t="s">
        <v>2927</v>
      </c>
      <c r="P93">
        <v>25518.2</v>
      </c>
      <c r="Q93">
        <v>24973.200000000001</v>
      </c>
      <c r="R93">
        <v>3201</v>
      </c>
      <c r="S93">
        <v>7.8016869728209937</v>
      </c>
      <c r="T93">
        <v>12631</v>
      </c>
      <c r="U93">
        <v>0.25340000000000001</v>
      </c>
    </row>
    <row r="94" spans="1:21" x14ac:dyDescent="0.3">
      <c r="A94" t="s">
        <v>406</v>
      </c>
      <c r="B94" t="s">
        <v>407</v>
      </c>
      <c r="C94" t="s">
        <v>41</v>
      </c>
      <c r="D94" t="s">
        <v>408</v>
      </c>
      <c r="E94" t="s">
        <v>22</v>
      </c>
      <c r="F94" t="s">
        <v>28</v>
      </c>
      <c r="G94">
        <v>0</v>
      </c>
      <c r="H94">
        <v>48300</v>
      </c>
      <c r="J94" t="s">
        <v>409</v>
      </c>
      <c r="K94">
        <v>0</v>
      </c>
      <c r="L94">
        <v>1968</v>
      </c>
      <c r="M94">
        <v>58</v>
      </c>
      <c r="N94" t="s">
        <v>2148</v>
      </c>
      <c r="O94" t="s">
        <v>2927</v>
      </c>
      <c r="P94">
        <v>80429.8</v>
      </c>
      <c r="Q94">
        <v>83466</v>
      </c>
      <c r="R94">
        <v>2849</v>
      </c>
      <c r="S94">
        <v>29.296595296595296</v>
      </c>
      <c r="T94">
        <v>10794.9</v>
      </c>
      <c r="U94">
        <v>0.26390000000000002</v>
      </c>
    </row>
    <row r="95" spans="1:21" x14ac:dyDescent="0.3">
      <c r="A95" t="s">
        <v>410</v>
      </c>
      <c r="B95" t="s">
        <v>411</v>
      </c>
      <c r="C95" t="s">
        <v>41</v>
      </c>
      <c r="D95" t="s">
        <v>412</v>
      </c>
      <c r="E95" t="s">
        <v>22</v>
      </c>
      <c r="F95" t="s">
        <v>43</v>
      </c>
      <c r="G95">
        <v>0</v>
      </c>
      <c r="H95">
        <v>86200</v>
      </c>
      <c r="J95" t="s">
        <v>413</v>
      </c>
      <c r="K95">
        <v>0</v>
      </c>
      <c r="L95">
        <v>1984</v>
      </c>
      <c r="M95">
        <v>42</v>
      </c>
      <c r="N95" t="s">
        <v>2150</v>
      </c>
      <c r="O95" t="s">
        <v>2928</v>
      </c>
      <c r="P95">
        <v>313858.5</v>
      </c>
      <c r="Q95">
        <v>329821.5</v>
      </c>
      <c r="R95">
        <v>16291</v>
      </c>
      <c r="S95">
        <v>20.245626419495427</v>
      </c>
      <c r="T95">
        <v>59054</v>
      </c>
      <c r="U95">
        <v>0.27589999999999998</v>
      </c>
    </row>
    <row r="96" spans="1:21" x14ac:dyDescent="0.3">
      <c r="A96" t="s">
        <v>414</v>
      </c>
      <c r="B96" t="s">
        <v>415</v>
      </c>
      <c r="C96" t="s">
        <v>20</v>
      </c>
      <c r="D96" t="s">
        <v>416</v>
      </c>
      <c r="E96" t="s">
        <v>22</v>
      </c>
      <c r="F96" t="s">
        <v>53</v>
      </c>
      <c r="G96">
        <v>1</v>
      </c>
      <c r="H96">
        <v>226000</v>
      </c>
      <c r="I96" t="s">
        <v>417</v>
      </c>
      <c r="J96" t="s">
        <v>417</v>
      </c>
      <c r="K96">
        <v>1</v>
      </c>
      <c r="L96">
        <v>1812</v>
      </c>
      <c r="M96">
        <v>214</v>
      </c>
      <c r="N96" t="s">
        <v>2152</v>
      </c>
      <c r="O96" t="s">
        <v>2927</v>
      </c>
      <c r="P96">
        <v>192757.5</v>
      </c>
      <c r="Q96" t="s">
        <v>91</v>
      </c>
      <c r="R96">
        <v>0</v>
      </c>
      <c r="S96" t="e">
        <v>#VALUE!</v>
      </c>
      <c r="T96">
        <v>75716</v>
      </c>
      <c r="U96">
        <v>0</v>
      </c>
    </row>
    <row r="97" spans="1:21" x14ac:dyDescent="0.3">
      <c r="A97" t="s">
        <v>418</v>
      </c>
      <c r="B97" t="s">
        <v>419</v>
      </c>
      <c r="C97" t="s">
        <v>20</v>
      </c>
      <c r="D97" t="s">
        <v>420</v>
      </c>
      <c r="E97" t="s">
        <v>22</v>
      </c>
      <c r="F97" t="s">
        <v>53</v>
      </c>
      <c r="G97">
        <v>1</v>
      </c>
      <c r="H97">
        <v>17398</v>
      </c>
      <c r="J97" t="s">
        <v>421</v>
      </c>
      <c r="K97">
        <v>0</v>
      </c>
      <c r="L97">
        <v>1828</v>
      </c>
      <c r="M97">
        <v>198</v>
      </c>
      <c r="N97" t="s">
        <v>2154</v>
      </c>
      <c r="O97" t="s">
        <v>2927</v>
      </c>
      <c r="P97">
        <v>25579.8</v>
      </c>
      <c r="Q97" t="s">
        <v>91</v>
      </c>
      <c r="R97">
        <v>0</v>
      </c>
      <c r="S97" t="e">
        <v>#VALUE!</v>
      </c>
      <c r="T97">
        <v>7639</v>
      </c>
      <c r="U97">
        <v>0</v>
      </c>
    </row>
    <row r="98" spans="1:21" x14ac:dyDescent="0.3">
      <c r="A98" t="s">
        <v>422</v>
      </c>
      <c r="B98" t="s">
        <v>423</v>
      </c>
      <c r="C98" t="s">
        <v>41</v>
      </c>
      <c r="D98" t="s">
        <v>424</v>
      </c>
      <c r="E98" t="s">
        <v>22</v>
      </c>
      <c r="F98" t="s">
        <v>53</v>
      </c>
      <c r="G98">
        <v>1</v>
      </c>
      <c r="H98">
        <v>3760</v>
      </c>
      <c r="J98" t="s">
        <v>425</v>
      </c>
      <c r="K98">
        <v>0</v>
      </c>
      <c r="L98">
        <v>1898</v>
      </c>
      <c r="M98">
        <v>128</v>
      </c>
      <c r="N98" t="s">
        <v>2156</v>
      </c>
      <c r="O98" t="s">
        <v>2927</v>
      </c>
      <c r="P98">
        <v>114580.8</v>
      </c>
      <c r="Q98">
        <v>113796.1</v>
      </c>
      <c r="R98">
        <v>4590</v>
      </c>
      <c r="S98">
        <v>24.792178649237474</v>
      </c>
      <c r="T98">
        <v>6506.8</v>
      </c>
      <c r="U98">
        <v>0.70540000000000003</v>
      </c>
    </row>
    <row r="99" spans="1:21" x14ac:dyDescent="0.3">
      <c r="A99" t="s">
        <v>426</v>
      </c>
      <c r="B99" t="s">
        <v>427</v>
      </c>
      <c r="C99" t="s">
        <v>20</v>
      </c>
      <c r="D99" t="s">
        <v>428</v>
      </c>
      <c r="E99" t="s">
        <v>22</v>
      </c>
      <c r="F99" t="s">
        <v>89</v>
      </c>
      <c r="G99">
        <v>0</v>
      </c>
      <c r="H99">
        <v>8350</v>
      </c>
      <c r="J99" t="s">
        <v>429</v>
      </c>
      <c r="K99">
        <v>0</v>
      </c>
      <c r="L99">
        <v>1987</v>
      </c>
      <c r="M99">
        <v>39</v>
      </c>
      <c r="N99" t="s">
        <v>2158</v>
      </c>
      <c r="O99" t="s">
        <v>2927</v>
      </c>
      <c r="P99">
        <v>23922.3</v>
      </c>
      <c r="Q99">
        <v>43127.3</v>
      </c>
      <c r="R99">
        <v>3019</v>
      </c>
      <c r="S99">
        <v>14.285293143424976</v>
      </c>
      <c r="T99">
        <v>8539</v>
      </c>
      <c r="U99">
        <v>0.35360000000000003</v>
      </c>
    </row>
    <row r="100" spans="1:21" x14ac:dyDescent="0.3">
      <c r="A100" t="s">
        <v>430</v>
      </c>
      <c r="B100" t="s">
        <v>431</v>
      </c>
      <c r="C100" t="s">
        <v>41</v>
      </c>
      <c r="D100" t="s">
        <v>432</v>
      </c>
      <c r="E100" t="s">
        <v>22</v>
      </c>
      <c r="F100" t="s">
        <v>43</v>
      </c>
      <c r="G100">
        <v>0</v>
      </c>
      <c r="H100">
        <v>351600</v>
      </c>
      <c r="J100" t="s">
        <v>433</v>
      </c>
      <c r="K100">
        <v>0</v>
      </c>
      <c r="L100">
        <v>1988</v>
      </c>
      <c r="M100">
        <v>38</v>
      </c>
      <c r="N100" t="s">
        <v>2160</v>
      </c>
      <c r="O100" t="s">
        <v>2927</v>
      </c>
      <c r="P100">
        <v>30813.4</v>
      </c>
      <c r="Q100">
        <v>30073.4</v>
      </c>
      <c r="R100">
        <v>3834</v>
      </c>
      <c r="S100">
        <v>7.8438706311945756</v>
      </c>
      <c r="T100">
        <v>21108</v>
      </c>
      <c r="U100">
        <v>0.18160000000000001</v>
      </c>
    </row>
    <row r="101" spans="1:21" x14ac:dyDescent="0.3">
      <c r="A101" t="s">
        <v>434</v>
      </c>
      <c r="B101" t="s">
        <v>435</v>
      </c>
      <c r="C101" t="s">
        <v>41</v>
      </c>
      <c r="D101" t="s">
        <v>436</v>
      </c>
      <c r="E101" t="s">
        <v>22</v>
      </c>
      <c r="F101" t="s">
        <v>53</v>
      </c>
      <c r="G101">
        <v>1</v>
      </c>
      <c r="H101">
        <v>4951</v>
      </c>
      <c r="J101" t="s">
        <v>437</v>
      </c>
      <c r="K101">
        <v>0</v>
      </c>
      <c r="L101">
        <v>2012</v>
      </c>
      <c r="M101">
        <v>14</v>
      </c>
      <c r="N101" t="s">
        <v>2165</v>
      </c>
      <c r="O101" t="s">
        <v>2927</v>
      </c>
      <c r="P101">
        <v>46437.599999999999</v>
      </c>
      <c r="Q101">
        <v>42700.4</v>
      </c>
      <c r="R101">
        <v>1671.2</v>
      </c>
      <c r="S101">
        <v>25.550741981809477</v>
      </c>
      <c r="T101">
        <v>6883.4</v>
      </c>
      <c r="U101">
        <v>0.24279999999999999</v>
      </c>
    </row>
    <row r="102" spans="1:21" x14ac:dyDescent="0.3">
      <c r="A102" t="s">
        <v>438</v>
      </c>
      <c r="B102" t="s">
        <v>439</v>
      </c>
      <c r="C102" t="s">
        <v>20</v>
      </c>
      <c r="D102" t="s">
        <v>440</v>
      </c>
      <c r="E102" t="s">
        <v>22</v>
      </c>
      <c r="F102" t="s">
        <v>100</v>
      </c>
      <c r="G102">
        <v>0</v>
      </c>
      <c r="H102">
        <v>33600</v>
      </c>
      <c r="J102" t="s">
        <v>441</v>
      </c>
      <c r="K102">
        <v>0</v>
      </c>
      <c r="L102">
        <v>1806</v>
      </c>
      <c r="M102">
        <v>220</v>
      </c>
      <c r="N102" t="s">
        <v>2167</v>
      </c>
      <c r="O102" t="s">
        <v>2927</v>
      </c>
      <c r="P102">
        <v>79465.5</v>
      </c>
      <c r="Q102">
        <v>86935.5</v>
      </c>
      <c r="R102">
        <v>4868</v>
      </c>
      <c r="S102">
        <v>17.8585661462613</v>
      </c>
      <c r="T102">
        <v>20382</v>
      </c>
      <c r="U102">
        <v>0.23880000000000001</v>
      </c>
    </row>
    <row r="103" spans="1:21" x14ac:dyDescent="0.3">
      <c r="A103" t="s">
        <v>442</v>
      </c>
      <c r="B103" t="s">
        <v>443</v>
      </c>
      <c r="C103" t="s">
        <v>41</v>
      </c>
      <c r="D103" t="s">
        <v>444</v>
      </c>
      <c r="E103" t="s">
        <v>22</v>
      </c>
      <c r="F103" t="s">
        <v>95</v>
      </c>
      <c r="G103">
        <v>0</v>
      </c>
      <c r="H103">
        <v>179000</v>
      </c>
      <c r="J103" t="s">
        <v>445</v>
      </c>
      <c r="K103">
        <v>0</v>
      </c>
      <c r="L103">
        <v>1963</v>
      </c>
      <c r="M103">
        <v>63</v>
      </c>
      <c r="N103" t="s">
        <v>2169</v>
      </c>
      <c r="O103" t="s">
        <v>2927</v>
      </c>
      <c r="P103">
        <v>111389.3</v>
      </c>
      <c r="Q103">
        <v>207414.3</v>
      </c>
      <c r="R103">
        <v>36880</v>
      </c>
      <c r="S103">
        <v>5.6240319956616052</v>
      </c>
      <c r="T103">
        <v>123707</v>
      </c>
      <c r="U103">
        <v>0.29809999999999998</v>
      </c>
    </row>
    <row r="104" spans="1:21" x14ac:dyDescent="0.3">
      <c r="A104" t="s">
        <v>446</v>
      </c>
      <c r="B104" t="s">
        <v>447</v>
      </c>
      <c r="C104" t="s">
        <v>20</v>
      </c>
      <c r="D104" t="s">
        <v>448</v>
      </c>
      <c r="E104" t="s">
        <v>22</v>
      </c>
      <c r="F104" t="s">
        <v>28</v>
      </c>
      <c r="G104">
        <v>0</v>
      </c>
      <c r="H104">
        <v>22700</v>
      </c>
      <c r="J104" t="s">
        <v>449</v>
      </c>
      <c r="K104">
        <v>0</v>
      </c>
      <c r="L104">
        <v>1917</v>
      </c>
      <c r="M104">
        <v>109</v>
      </c>
      <c r="N104" t="s">
        <v>2171</v>
      </c>
      <c r="O104" t="s">
        <v>2927</v>
      </c>
      <c r="P104">
        <v>50195.1</v>
      </c>
      <c r="Q104">
        <v>49662.2</v>
      </c>
      <c r="R104">
        <v>1454.6</v>
      </c>
      <c r="S104">
        <v>34.141482194417712</v>
      </c>
      <c r="T104">
        <v>9101.6</v>
      </c>
      <c r="U104">
        <v>0.1598</v>
      </c>
    </row>
    <row r="105" spans="1:21" x14ac:dyDescent="0.3">
      <c r="A105" t="s">
        <v>450</v>
      </c>
      <c r="B105" t="s">
        <v>451</v>
      </c>
      <c r="C105" t="s">
        <v>20</v>
      </c>
      <c r="D105" t="s">
        <v>452</v>
      </c>
      <c r="E105" t="s">
        <v>22</v>
      </c>
      <c r="F105" t="s">
        <v>100</v>
      </c>
      <c r="G105">
        <v>0</v>
      </c>
      <c r="H105">
        <v>18300</v>
      </c>
      <c r="J105" t="s">
        <v>453</v>
      </c>
      <c r="K105">
        <v>0</v>
      </c>
      <c r="L105">
        <v>1919</v>
      </c>
      <c r="M105">
        <v>107</v>
      </c>
      <c r="N105" t="s">
        <v>2173</v>
      </c>
      <c r="O105" t="s">
        <v>2927</v>
      </c>
      <c r="P105">
        <v>9208.6</v>
      </c>
      <c r="Q105">
        <v>16785.900000000001</v>
      </c>
      <c r="R105">
        <v>1812</v>
      </c>
      <c r="S105">
        <v>9.2637417218543057</v>
      </c>
      <c r="T105">
        <v>11234.5</v>
      </c>
      <c r="U105">
        <v>0.1613</v>
      </c>
    </row>
    <row r="106" spans="1:21" x14ac:dyDescent="0.3">
      <c r="A106" t="s">
        <v>454</v>
      </c>
      <c r="B106" t="s">
        <v>455</v>
      </c>
      <c r="C106" t="s">
        <v>20</v>
      </c>
      <c r="D106" t="s">
        <v>456</v>
      </c>
      <c r="E106" t="s">
        <v>22</v>
      </c>
      <c r="F106" t="s">
        <v>153</v>
      </c>
      <c r="G106">
        <v>0</v>
      </c>
      <c r="H106">
        <v>9900</v>
      </c>
      <c r="J106" t="s">
        <v>457</v>
      </c>
      <c r="K106">
        <v>0</v>
      </c>
      <c r="L106">
        <v>1917</v>
      </c>
      <c r="M106">
        <v>109</v>
      </c>
      <c r="N106" t="s">
        <v>2175</v>
      </c>
      <c r="O106" t="s">
        <v>2927</v>
      </c>
      <c r="P106">
        <v>138686.6</v>
      </c>
      <c r="Q106">
        <v>156099.6</v>
      </c>
      <c r="R106">
        <v>24161</v>
      </c>
      <c r="S106">
        <v>6.4608087413600437</v>
      </c>
      <c r="T106">
        <v>60279</v>
      </c>
      <c r="U106">
        <v>0.40079999999999999</v>
      </c>
    </row>
    <row r="107" spans="1:21" x14ac:dyDescent="0.3">
      <c r="A107" t="s">
        <v>458</v>
      </c>
      <c r="B107" t="s">
        <v>459</v>
      </c>
      <c r="C107" t="s">
        <v>20</v>
      </c>
      <c r="D107" t="s">
        <v>460</v>
      </c>
      <c r="E107" t="s">
        <v>22</v>
      </c>
      <c r="F107" t="s">
        <v>89</v>
      </c>
      <c r="G107">
        <v>0</v>
      </c>
      <c r="H107">
        <v>15407</v>
      </c>
      <c r="J107" t="s">
        <v>461</v>
      </c>
      <c r="K107">
        <v>0</v>
      </c>
      <c r="L107">
        <v>1823</v>
      </c>
      <c r="M107">
        <v>203</v>
      </c>
      <c r="N107" t="s">
        <v>2177</v>
      </c>
      <c r="O107" t="s">
        <v>2927</v>
      </c>
      <c r="P107">
        <v>40653.800000000003</v>
      </c>
      <c r="Q107">
        <v>67403.8</v>
      </c>
      <c r="R107">
        <v>6022</v>
      </c>
      <c r="S107">
        <v>11.192925938226503</v>
      </c>
      <c r="T107">
        <v>16918</v>
      </c>
      <c r="U107">
        <v>0.35599999999999998</v>
      </c>
    </row>
    <row r="108" spans="1:21" x14ac:dyDescent="0.3">
      <c r="A108" t="s">
        <v>462</v>
      </c>
      <c r="B108" t="s">
        <v>463</v>
      </c>
      <c r="C108" t="s">
        <v>20</v>
      </c>
      <c r="D108" t="s">
        <v>464</v>
      </c>
      <c r="E108" t="s">
        <v>22</v>
      </c>
      <c r="F108" t="s">
        <v>100</v>
      </c>
      <c r="G108">
        <v>0</v>
      </c>
      <c r="H108">
        <v>10600</v>
      </c>
      <c r="J108" t="s">
        <v>465</v>
      </c>
      <c r="K108">
        <v>0</v>
      </c>
      <c r="L108">
        <v>1945</v>
      </c>
      <c r="M108">
        <v>81</v>
      </c>
      <c r="N108" t="s">
        <v>2179</v>
      </c>
      <c r="O108" t="s">
        <v>2927</v>
      </c>
      <c r="P108">
        <v>27370.5</v>
      </c>
      <c r="Q108">
        <v>38171.4</v>
      </c>
      <c r="R108">
        <v>3546.4</v>
      </c>
      <c r="S108">
        <v>10.763422061809159</v>
      </c>
      <c r="T108">
        <v>9383</v>
      </c>
      <c r="U108">
        <v>0.378</v>
      </c>
    </row>
    <row r="109" spans="1:21" x14ac:dyDescent="0.3">
      <c r="A109" t="s">
        <v>466</v>
      </c>
      <c r="B109" t="s">
        <v>467</v>
      </c>
      <c r="C109" t="s">
        <v>41</v>
      </c>
      <c r="D109" t="s">
        <v>468</v>
      </c>
      <c r="E109" t="s">
        <v>22</v>
      </c>
      <c r="F109" t="s">
        <v>89</v>
      </c>
      <c r="G109">
        <v>0</v>
      </c>
      <c r="H109">
        <v>15315</v>
      </c>
      <c r="J109" t="s">
        <v>469</v>
      </c>
      <c r="K109">
        <v>0</v>
      </c>
      <c r="L109">
        <v>2021</v>
      </c>
      <c r="M109">
        <v>5</v>
      </c>
      <c r="N109" t="s">
        <v>2181</v>
      </c>
      <c r="O109" t="s">
        <v>2927</v>
      </c>
      <c r="P109">
        <v>119413.4</v>
      </c>
      <c r="Q109">
        <v>125605.4</v>
      </c>
      <c r="R109">
        <v>5632</v>
      </c>
      <c r="S109">
        <v>22.302095170454546</v>
      </c>
      <c r="T109">
        <v>25533</v>
      </c>
      <c r="U109">
        <v>0.22059999999999999</v>
      </c>
    </row>
    <row r="110" spans="1:21" x14ac:dyDescent="0.3">
      <c r="A110" t="s">
        <v>470</v>
      </c>
      <c r="B110" t="s">
        <v>471</v>
      </c>
      <c r="C110" t="s">
        <v>41</v>
      </c>
      <c r="D110" t="s">
        <v>472</v>
      </c>
      <c r="E110" t="s">
        <v>22</v>
      </c>
      <c r="F110" t="s">
        <v>28</v>
      </c>
      <c r="G110">
        <v>0</v>
      </c>
      <c r="H110">
        <v>13800</v>
      </c>
      <c r="J110" t="s">
        <v>473</v>
      </c>
      <c r="K110">
        <v>0</v>
      </c>
      <c r="L110">
        <v>1982</v>
      </c>
      <c r="M110">
        <v>44</v>
      </c>
      <c r="N110" t="s">
        <v>2183</v>
      </c>
      <c r="O110" t="s">
        <v>2927</v>
      </c>
      <c r="P110">
        <v>36871.800000000003</v>
      </c>
      <c r="Q110">
        <v>31884.3</v>
      </c>
      <c r="R110">
        <v>1943.9</v>
      </c>
      <c r="S110">
        <v>16.402232625135035</v>
      </c>
      <c r="T110">
        <v>4613.5</v>
      </c>
      <c r="U110">
        <v>0.4214</v>
      </c>
    </row>
    <row r="111" spans="1:21" x14ac:dyDescent="0.3">
      <c r="A111" t="s">
        <v>474</v>
      </c>
      <c r="B111" t="s">
        <v>475</v>
      </c>
      <c r="C111" t="s">
        <v>20</v>
      </c>
      <c r="D111" t="s">
        <v>476</v>
      </c>
      <c r="E111" t="s">
        <v>22</v>
      </c>
      <c r="F111" t="s">
        <v>43</v>
      </c>
      <c r="G111">
        <v>0</v>
      </c>
      <c r="H111">
        <v>67200</v>
      </c>
      <c r="J111" t="s">
        <v>477</v>
      </c>
      <c r="K111">
        <v>0</v>
      </c>
      <c r="L111">
        <v>1851</v>
      </c>
      <c r="M111">
        <v>175</v>
      </c>
      <c r="N111" t="s">
        <v>2185</v>
      </c>
      <c r="O111" t="s">
        <v>2927</v>
      </c>
      <c r="P111">
        <v>129018.2</v>
      </c>
      <c r="Q111">
        <v>137369.20000000001</v>
      </c>
      <c r="R111">
        <v>3671</v>
      </c>
      <c r="S111">
        <v>37.420103514028881</v>
      </c>
      <c r="T111">
        <v>15629</v>
      </c>
      <c r="U111">
        <v>0.2349</v>
      </c>
    </row>
    <row r="112" spans="1:21" x14ac:dyDescent="0.3">
      <c r="A112" t="s">
        <v>478</v>
      </c>
      <c r="B112" t="s">
        <v>479</v>
      </c>
      <c r="C112" t="s">
        <v>20</v>
      </c>
      <c r="D112" t="s">
        <v>480</v>
      </c>
      <c r="E112" t="s">
        <v>22</v>
      </c>
      <c r="F112" t="s">
        <v>53</v>
      </c>
      <c r="G112">
        <v>1</v>
      </c>
      <c r="H112">
        <v>11200</v>
      </c>
      <c r="J112" t="s">
        <v>481</v>
      </c>
      <c r="K112">
        <v>0</v>
      </c>
      <c r="L112">
        <v>1986</v>
      </c>
      <c r="M112">
        <v>40</v>
      </c>
      <c r="N112" t="s">
        <v>2187</v>
      </c>
      <c r="O112" t="s">
        <v>2927</v>
      </c>
      <c r="P112">
        <v>22123.200000000001</v>
      </c>
      <c r="Q112">
        <v>30335.9</v>
      </c>
      <c r="R112">
        <v>2291</v>
      </c>
      <c r="S112">
        <v>13.241335661283284</v>
      </c>
      <c r="T112">
        <v>4528.3999999999996</v>
      </c>
      <c r="U112">
        <v>0.50590000000000002</v>
      </c>
    </row>
    <row r="113" spans="1:21" x14ac:dyDescent="0.3">
      <c r="A113" t="s">
        <v>482</v>
      </c>
      <c r="B113" t="s">
        <v>483</v>
      </c>
      <c r="C113" t="s">
        <v>20</v>
      </c>
      <c r="D113" t="s">
        <v>484</v>
      </c>
      <c r="E113" t="s">
        <v>22</v>
      </c>
      <c r="F113" t="s">
        <v>62</v>
      </c>
      <c r="G113">
        <v>0</v>
      </c>
      <c r="H113">
        <v>21500</v>
      </c>
      <c r="J113" t="s">
        <v>485</v>
      </c>
      <c r="K113">
        <v>0</v>
      </c>
      <c r="L113">
        <v>1802</v>
      </c>
      <c r="M113">
        <v>224</v>
      </c>
      <c r="N113" t="s">
        <v>2189</v>
      </c>
      <c r="O113" t="s">
        <v>2927</v>
      </c>
      <c r="P113">
        <v>53882.6</v>
      </c>
      <c r="Q113">
        <v>52567.6</v>
      </c>
      <c r="R113">
        <v>3799</v>
      </c>
      <c r="S113">
        <v>13.83722032113714</v>
      </c>
      <c r="T113">
        <v>17401</v>
      </c>
      <c r="U113">
        <v>0.21829999999999999</v>
      </c>
    </row>
    <row r="114" spans="1:21" x14ac:dyDescent="0.3">
      <c r="A114" t="s">
        <v>486</v>
      </c>
      <c r="B114" t="s">
        <v>487</v>
      </c>
      <c r="C114" t="s">
        <v>41</v>
      </c>
      <c r="D114" t="s">
        <v>488</v>
      </c>
      <c r="E114" t="s">
        <v>22</v>
      </c>
      <c r="F114" t="s">
        <v>80</v>
      </c>
      <c r="G114">
        <v>0</v>
      </c>
      <c r="H114">
        <v>8441</v>
      </c>
      <c r="J114" t="s">
        <v>489</v>
      </c>
      <c r="K114">
        <v>0</v>
      </c>
      <c r="L114">
        <v>1986</v>
      </c>
      <c r="M114">
        <v>40</v>
      </c>
      <c r="N114" t="s">
        <v>2191</v>
      </c>
      <c r="O114" t="s">
        <v>2927</v>
      </c>
      <c r="P114">
        <v>18735.400000000001</v>
      </c>
      <c r="Q114">
        <v>18283.400000000001</v>
      </c>
      <c r="R114">
        <v>209</v>
      </c>
      <c r="S114">
        <v>87.480382775119622</v>
      </c>
      <c r="T114">
        <v>3247</v>
      </c>
      <c r="U114">
        <v>6.4399999999999999E-2</v>
      </c>
    </row>
    <row r="115" spans="1:21" x14ac:dyDescent="0.3">
      <c r="A115" t="s">
        <v>490</v>
      </c>
      <c r="B115" t="s">
        <v>491</v>
      </c>
      <c r="C115" t="s">
        <v>41</v>
      </c>
      <c r="D115" t="s">
        <v>492</v>
      </c>
      <c r="E115" t="s">
        <v>22</v>
      </c>
      <c r="F115" t="s">
        <v>100</v>
      </c>
      <c r="G115">
        <v>0</v>
      </c>
      <c r="H115">
        <v>341000</v>
      </c>
      <c r="J115" t="s">
        <v>493</v>
      </c>
      <c r="K115">
        <v>0</v>
      </c>
      <c r="L115">
        <v>1976</v>
      </c>
      <c r="M115">
        <v>50</v>
      </c>
      <c r="N115" t="s">
        <v>2193</v>
      </c>
      <c r="O115" t="s">
        <v>2927</v>
      </c>
      <c r="P115">
        <v>448658.8</v>
      </c>
      <c r="Q115">
        <v>439647.8</v>
      </c>
      <c r="R115">
        <v>13125</v>
      </c>
      <c r="S115">
        <v>33.496975238095239</v>
      </c>
      <c r="T115">
        <v>280391</v>
      </c>
      <c r="U115">
        <v>4.6800000000000001E-2</v>
      </c>
    </row>
    <row r="116" spans="1:21" x14ac:dyDescent="0.3">
      <c r="A116" t="s">
        <v>494</v>
      </c>
      <c r="B116" t="s">
        <v>495</v>
      </c>
      <c r="C116" t="s">
        <v>20</v>
      </c>
      <c r="D116" t="s">
        <v>496</v>
      </c>
      <c r="E116" t="s">
        <v>22</v>
      </c>
      <c r="F116" t="s">
        <v>153</v>
      </c>
      <c r="G116">
        <v>0</v>
      </c>
      <c r="H116">
        <v>915</v>
      </c>
      <c r="J116" t="s">
        <v>497</v>
      </c>
      <c r="K116">
        <v>0</v>
      </c>
      <c r="L116">
        <v>1989</v>
      </c>
      <c r="M116">
        <v>37</v>
      </c>
      <c r="N116" t="s">
        <v>2195</v>
      </c>
      <c r="O116" t="s">
        <v>2927</v>
      </c>
      <c r="P116">
        <v>23226.2</v>
      </c>
      <c r="Q116">
        <v>27126.2</v>
      </c>
      <c r="R116">
        <v>4832</v>
      </c>
      <c r="S116">
        <v>5.6138658940397352</v>
      </c>
      <c r="T116">
        <v>6991</v>
      </c>
      <c r="U116">
        <v>0.69120000000000004</v>
      </c>
    </row>
    <row r="117" spans="1:21" x14ac:dyDescent="0.3">
      <c r="A117" t="s">
        <v>498</v>
      </c>
      <c r="B117" t="s">
        <v>499</v>
      </c>
      <c r="C117" t="s">
        <v>41</v>
      </c>
      <c r="D117" t="s">
        <v>500</v>
      </c>
      <c r="E117" t="s">
        <v>22</v>
      </c>
      <c r="F117" t="s">
        <v>43</v>
      </c>
      <c r="G117">
        <v>0</v>
      </c>
      <c r="H117">
        <v>10410</v>
      </c>
      <c r="J117" t="s">
        <v>501</v>
      </c>
      <c r="K117">
        <v>0</v>
      </c>
      <c r="L117">
        <v>2011</v>
      </c>
      <c r="M117">
        <v>15</v>
      </c>
      <c r="N117" t="s">
        <v>2197</v>
      </c>
      <c r="O117" t="s">
        <v>2927</v>
      </c>
      <c r="P117">
        <v>93775.6</v>
      </c>
      <c r="Q117">
        <v>89835.1</v>
      </c>
      <c r="R117">
        <v>-93.8</v>
      </c>
      <c r="S117">
        <v>-957.73027718550111</v>
      </c>
      <c r="T117">
        <v>4565.2</v>
      </c>
      <c r="U117">
        <v>-2.0500000000000001E-2</v>
      </c>
    </row>
    <row r="118" spans="1:21" x14ac:dyDescent="0.3">
      <c r="A118" t="s">
        <v>502</v>
      </c>
      <c r="B118" t="s">
        <v>503</v>
      </c>
      <c r="C118" t="s">
        <v>20</v>
      </c>
      <c r="D118" t="s">
        <v>504</v>
      </c>
      <c r="E118" t="s">
        <v>22</v>
      </c>
      <c r="F118" t="s">
        <v>80</v>
      </c>
      <c r="G118">
        <v>0</v>
      </c>
      <c r="H118">
        <v>1500</v>
      </c>
      <c r="J118" t="s">
        <v>505</v>
      </c>
      <c r="K118">
        <v>0</v>
      </c>
      <c r="L118">
        <v>1994</v>
      </c>
      <c r="M118">
        <v>32</v>
      </c>
      <c r="N118" t="s">
        <v>2199</v>
      </c>
      <c r="O118" t="s">
        <v>2927</v>
      </c>
      <c r="P118">
        <v>39045.699999999997</v>
      </c>
      <c r="Q118">
        <v>68512.7</v>
      </c>
      <c r="R118">
        <v>2776</v>
      </c>
      <c r="S118">
        <v>24.680367435158502</v>
      </c>
      <c r="T118">
        <v>4264</v>
      </c>
      <c r="U118">
        <v>0.65100000000000002</v>
      </c>
    </row>
    <row r="119" spans="1:21" x14ac:dyDescent="0.3">
      <c r="A119" t="s">
        <v>506</v>
      </c>
      <c r="B119" t="s">
        <v>507</v>
      </c>
      <c r="C119" t="s">
        <v>41</v>
      </c>
      <c r="D119" t="s">
        <v>508</v>
      </c>
      <c r="E119" t="s">
        <v>22</v>
      </c>
      <c r="F119" t="s">
        <v>28</v>
      </c>
      <c r="G119">
        <v>0</v>
      </c>
      <c r="H119">
        <v>23000</v>
      </c>
      <c r="J119" t="s">
        <v>509</v>
      </c>
      <c r="K119">
        <v>0</v>
      </c>
      <c r="L119">
        <v>1978</v>
      </c>
      <c r="M119">
        <v>48</v>
      </c>
      <c r="N119" t="s">
        <v>2201</v>
      </c>
      <c r="O119" t="s">
        <v>2927</v>
      </c>
      <c r="P119">
        <v>79384.5</v>
      </c>
      <c r="Q119">
        <v>98220.5</v>
      </c>
      <c r="R119">
        <v>6424</v>
      </c>
      <c r="S119">
        <v>15.28961706102117</v>
      </c>
      <c r="T119">
        <v>14092</v>
      </c>
      <c r="U119">
        <v>0.45590000000000003</v>
      </c>
    </row>
    <row r="120" spans="1:21" x14ac:dyDescent="0.3">
      <c r="A120" t="s">
        <v>510</v>
      </c>
      <c r="B120" t="s">
        <v>511</v>
      </c>
      <c r="C120" t="s">
        <v>20</v>
      </c>
      <c r="D120" t="s">
        <v>512</v>
      </c>
      <c r="E120" t="s">
        <v>22</v>
      </c>
      <c r="F120" t="s">
        <v>28</v>
      </c>
      <c r="G120">
        <v>0</v>
      </c>
      <c r="H120">
        <v>67400</v>
      </c>
      <c r="I120" t="s">
        <v>513</v>
      </c>
      <c r="J120" t="s">
        <v>513</v>
      </c>
      <c r="K120">
        <v>1</v>
      </c>
      <c r="L120">
        <v>1919</v>
      </c>
      <c r="M120">
        <v>107</v>
      </c>
      <c r="N120" t="s">
        <v>2203</v>
      </c>
      <c r="O120" t="s">
        <v>2927</v>
      </c>
      <c r="P120">
        <v>80670.7</v>
      </c>
      <c r="Q120">
        <v>86234.7</v>
      </c>
      <c r="R120">
        <v>5190</v>
      </c>
      <c r="S120">
        <v>16.615549132947976</v>
      </c>
      <c r="T120">
        <v>33670</v>
      </c>
      <c r="U120">
        <v>0.15409999999999999</v>
      </c>
    </row>
    <row r="121" spans="1:21" x14ac:dyDescent="0.3">
      <c r="A121" t="s">
        <v>514</v>
      </c>
      <c r="B121" t="s">
        <v>515</v>
      </c>
      <c r="C121" t="s">
        <v>20</v>
      </c>
      <c r="D121" t="s">
        <v>516</v>
      </c>
      <c r="E121" t="s">
        <v>22</v>
      </c>
      <c r="F121" t="s">
        <v>33</v>
      </c>
      <c r="G121">
        <v>0</v>
      </c>
      <c r="H121">
        <v>259500</v>
      </c>
      <c r="J121" t="s">
        <v>517</v>
      </c>
      <c r="K121">
        <v>0</v>
      </c>
      <c r="L121">
        <v>1963</v>
      </c>
      <c r="M121">
        <v>63</v>
      </c>
      <c r="N121" t="s">
        <v>2205</v>
      </c>
      <c r="O121" t="s">
        <v>2927</v>
      </c>
      <c r="P121">
        <v>101649.7</v>
      </c>
      <c r="Q121">
        <v>171169.7</v>
      </c>
      <c r="R121">
        <v>14625</v>
      </c>
      <c r="S121">
        <v>11.703911111111111</v>
      </c>
      <c r="T121">
        <v>399834</v>
      </c>
      <c r="U121">
        <v>3.6600000000000001E-2</v>
      </c>
    </row>
    <row r="122" spans="1:21" x14ac:dyDescent="0.3">
      <c r="A122" t="s">
        <v>518</v>
      </c>
      <c r="B122" t="s">
        <v>519</v>
      </c>
      <c r="C122" t="s">
        <v>20</v>
      </c>
      <c r="D122" t="s">
        <v>520</v>
      </c>
      <c r="E122" t="s">
        <v>22</v>
      </c>
      <c r="F122" t="s">
        <v>67</v>
      </c>
      <c r="G122">
        <v>0</v>
      </c>
      <c r="H122">
        <v>14341</v>
      </c>
      <c r="J122" t="s">
        <v>521</v>
      </c>
      <c r="K122">
        <v>0</v>
      </c>
      <c r="L122">
        <v>1978</v>
      </c>
      <c r="M122">
        <v>48</v>
      </c>
      <c r="N122" t="s">
        <v>2207</v>
      </c>
      <c r="O122" t="s">
        <v>2927</v>
      </c>
      <c r="P122">
        <v>46465.5</v>
      </c>
      <c r="Q122">
        <v>50135.3</v>
      </c>
      <c r="R122">
        <v>4466.1000000000004</v>
      </c>
      <c r="S122">
        <v>11.22574505720875</v>
      </c>
      <c r="T122">
        <v>33524.300000000003</v>
      </c>
      <c r="U122">
        <v>0.13320000000000001</v>
      </c>
    </row>
    <row r="123" spans="1:21" x14ac:dyDescent="0.3">
      <c r="A123" t="s">
        <v>522</v>
      </c>
      <c r="B123" t="s">
        <v>523</v>
      </c>
      <c r="C123" t="s">
        <v>20</v>
      </c>
      <c r="D123" t="s">
        <v>524</v>
      </c>
      <c r="E123" t="s">
        <v>22</v>
      </c>
      <c r="F123" t="s">
        <v>33</v>
      </c>
      <c r="G123">
        <v>0</v>
      </c>
      <c r="H123">
        <v>59000</v>
      </c>
      <c r="J123" t="s">
        <v>525</v>
      </c>
      <c r="K123">
        <v>0</v>
      </c>
      <c r="L123">
        <v>1969</v>
      </c>
      <c r="M123">
        <v>57</v>
      </c>
      <c r="N123" t="s">
        <v>2209</v>
      </c>
      <c r="O123" t="s">
        <v>2927</v>
      </c>
      <c r="P123">
        <v>148951.79999999999</v>
      </c>
      <c r="Q123">
        <v>164039.79999999999</v>
      </c>
      <c r="R123">
        <v>7835</v>
      </c>
      <c r="S123">
        <v>20.936796426292275</v>
      </c>
      <c r="T123">
        <v>24568</v>
      </c>
      <c r="U123">
        <v>0.31890000000000002</v>
      </c>
    </row>
    <row r="124" spans="1:21" x14ac:dyDescent="0.3">
      <c r="A124" t="s">
        <v>526</v>
      </c>
      <c r="B124" t="s">
        <v>527</v>
      </c>
      <c r="C124" t="s">
        <v>20</v>
      </c>
      <c r="D124" t="s">
        <v>528</v>
      </c>
      <c r="E124" t="s">
        <v>22</v>
      </c>
      <c r="F124" t="s">
        <v>67</v>
      </c>
      <c r="G124">
        <v>0</v>
      </c>
      <c r="H124">
        <v>197924</v>
      </c>
      <c r="J124" t="s">
        <v>529</v>
      </c>
      <c r="K124">
        <v>0</v>
      </c>
      <c r="L124">
        <v>1938</v>
      </c>
      <c r="M124">
        <v>88</v>
      </c>
      <c r="N124" t="s">
        <v>2211</v>
      </c>
      <c r="O124" t="s">
        <v>2927</v>
      </c>
      <c r="P124">
        <v>24622.5</v>
      </c>
      <c r="Q124">
        <v>32746.400000000001</v>
      </c>
      <c r="R124">
        <v>1987.7</v>
      </c>
      <c r="S124">
        <v>16.474518287467927</v>
      </c>
      <c r="T124">
        <v>12576.5</v>
      </c>
      <c r="U124">
        <v>0.158</v>
      </c>
    </row>
    <row r="125" spans="1:21" x14ac:dyDescent="0.3">
      <c r="A125" t="s">
        <v>530</v>
      </c>
      <c r="B125" t="s">
        <v>531</v>
      </c>
      <c r="C125" t="s">
        <v>41</v>
      </c>
      <c r="D125" t="s">
        <v>532</v>
      </c>
      <c r="E125" t="s">
        <v>22</v>
      </c>
      <c r="F125" t="s">
        <v>43</v>
      </c>
      <c r="G125">
        <v>0</v>
      </c>
      <c r="H125">
        <v>8100</v>
      </c>
      <c r="J125" t="s">
        <v>533</v>
      </c>
      <c r="K125">
        <v>0</v>
      </c>
      <c r="L125">
        <v>2010</v>
      </c>
      <c r="M125">
        <v>16</v>
      </c>
      <c r="N125" t="s">
        <v>2213</v>
      </c>
      <c r="O125" t="s">
        <v>2927</v>
      </c>
      <c r="P125">
        <v>39617.199999999997</v>
      </c>
      <c r="Q125">
        <v>36421.4</v>
      </c>
      <c r="R125">
        <v>7.53</v>
      </c>
      <c r="S125">
        <v>4836.8393094289513</v>
      </c>
      <c r="T125">
        <v>3427.2</v>
      </c>
      <c r="U125">
        <v>2.2000000000000001E-3</v>
      </c>
    </row>
    <row r="126" spans="1:21" x14ac:dyDescent="0.3">
      <c r="A126" t="s">
        <v>534</v>
      </c>
      <c r="B126" t="s">
        <v>535</v>
      </c>
      <c r="C126" t="s">
        <v>20</v>
      </c>
      <c r="D126" t="s">
        <v>536</v>
      </c>
      <c r="E126" t="s">
        <v>22</v>
      </c>
      <c r="F126" t="s">
        <v>33</v>
      </c>
      <c r="G126">
        <v>0</v>
      </c>
      <c r="H126">
        <v>78000</v>
      </c>
      <c r="J126" t="s">
        <v>537</v>
      </c>
      <c r="K126">
        <v>0</v>
      </c>
      <c r="L126">
        <v>1994</v>
      </c>
      <c r="M126">
        <v>32</v>
      </c>
      <c r="N126" t="s">
        <v>2215</v>
      </c>
      <c r="O126" t="s">
        <v>2927</v>
      </c>
      <c r="P126">
        <v>10437.1</v>
      </c>
      <c r="Q126">
        <v>24420.2</v>
      </c>
      <c r="R126">
        <v>2751.2</v>
      </c>
      <c r="S126">
        <v>8.8761994765920331</v>
      </c>
      <c r="T126">
        <v>13643.1</v>
      </c>
      <c r="U126">
        <v>0.20169999999999999</v>
      </c>
    </row>
    <row r="127" spans="1:21" x14ac:dyDescent="0.3">
      <c r="A127" t="s">
        <v>538</v>
      </c>
      <c r="B127" t="s">
        <v>539</v>
      </c>
      <c r="C127" t="s">
        <v>20</v>
      </c>
      <c r="D127" t="s">
        <v>540</v>
      </c>
      <c r="E127" t="s">
        <v>22</v>
      </c>
      <c r="F127" t="s">
        <v>67</v>
      </c>
      <c r="G127">
        <v>0</v>
      </c>
      <c r="H127">
        <v>5500</v>
      </c>
      <c r="J127" t="s">
        <v>541</v>
      </c>
      <c r="K127">
        <v>0</v>
      </c>
      <c r="L127">
        <v>1973</v>
      </c>
      <c r="M127">
        <v>53</v>
      </c>
      <c r="N127" t="s">
        <v>2217</v>
      </c>
      <c r="O127" t="s">
        <v>2928</v>
      </c>
      <c r="P127">
        <v>16646.5</v>
      </c>
      <c r="Q127">
        <v>14902.6</v>
      </c>
      <c r="R127">
        <v>1360</v>
      </c>
      <c r="S127">
        <v>10.95779411764706</v>
      </c>
      <c r="T127">
        <v>5374.7</v>
      </c>
      <c r="U127">
        <v>0.253</v>
      </c>
    </row>
    <row r="128" spans="1:21" x14ac:dyDescent="0.3">
      <c r="A128" t="s">
        <v>542</v>
      </c>
      <c r="B128" t="s">
        <v>543</v>
      </c>
      <c r="C128" t="s">
        <v>20</v>
      </c>
      <c r="D128" t="s">
        <v>544</v>
      </c>
      <c r="E128" t="s">
        <v>22</v>
      </c>
      <c r="F128" t="s">
        <v>28</v>
      </c>
      <c r="G128">
        <v>0</v>
      </c>
      <c r="H128">
        <v>73100</v>
      </c>
      <c r="J128" t="s">
        <v>545</v>
      </c>
      <c r="K128">
        <v>0</v>
      </c>
      <c r="L128">
        <v>1837</v>
      </c>
      <c r="M128">
        <v>189</v>
      </c>
      <c r="N128" t="s">
        <v>2219</v>
      </c>
      <c r="O128" t="s">
        <v>2927</v>
      </c>
      <c r="P128">
        <v>170089.3</v>
      </c>
      <c r="Q128">
        <v>228051.3</v>
      </c>
      <c r="R128">
        <v>8588</v>
      </c>
      <c r="S128">
        <v>26.554646017699113</v>
      </c>
      <c r="T128">
        <v>46731</v>
      </c>
      <c r="U128">
        <v>0.18379999999999999</v>
      </c>
    </row>
    <row r="129" spans="1:21" x14ac:dyDescent="0.3">
      <c r="A129" t="s">
        <v>546</v>
      </c>
      <c r="B129" t="s">
        <v>547</v>
      </c>
      <c r="C129" t="s">
        <v>20</v>
      </c>
      <c r="D129" t="s">
        <v>548</v>
      </c>
      <c r="E129" t="s">
        <v>22</v>
      </c>
      <c r="F129" t="s">
        <v>43</v>
      </c>
      <c r="G129">
        <v>0</v>
      </c>
      <c r="H129">
        <v>108000</v>
      </c>
      <c r="J129" t="s">
        <v>549</v>
      </c>
      <c r="K129">
        <v>0</v>
      </c>
      <c r="L129">
        <v>1984</v>
      </c>
      <c r="M129">
        <v>42</v>
      </c>
      <c r="N129" t="s">
        <v>2221</v>
      </c>
      <c r="O129" t="s">
        <v>2927</v>
      </c>
      <c r="P129">
        <v>98131.1</v>
      </c>
      <c r="Q129">
        <v>118106.1</v>
      </c>
      <c r="R129">
        <v>8646</v>
      </c>
      <c r="S129">
        <v>13.660201249132548</v>
      </c>
      <c r="T129">
        <v>113538</v>
      </c>
      <c r="U129">
        <v>7.6200000000000004E-2</v>
      </c>
    </row>
    <row r="130" spans="1:21" x14ac:dyDescent="0.3">
      <c r="A130" t="s">
        <v>550</v>
      </c>
      <c r="B130" t="s">
        <v>551</v>
      </c>
      <c r="C130" t="s">
        <v>20</v>
      </c>
      <c r="D130" t="s">
        <v>552</v>
      </c>
      <c r="E130" t="s">
        <v>22</v>
      </c>
      <c r="F130" t="s">
        <v>28</v>
      </c>
      <c r="G130">
        <v>0</v>
      </c>
      <c r="H130">
        <v>103000</v>
      </c>
      <c r="J130" t="s">
        <v>553</v>
      </c>
      <c r="K130">
        <v>0</v>
      </c>
      <c r="L130">
        <v>1924</v>
      </c>
      <c r="M130">
        <v>102</v>
      </c>
      <c r="N130" t="s">
        <v>2223</v>
      </c>
      <c r="O130" t="s">
        <v>2927</v>
      </c>
      <c r="P130">
        <v>42677.2</v>
      </c>
      <c r="Q130">
        <v>59741.2</v>
      </c>
      <c r="R130">
        <v>7772</v>
      </c>
      <c r="S130">
        <v>7.6867215645908384</v>
      </c>
      <c r="T130">
        <v>63364</v>
      </c>
      <c r="U130">
        <v>0.1227</v>
      </c>
    </row>
    <row r="131" spans="1:21" x14ac:dyDescent="0.3">
      <c r="A131" t="s">
        <v>554</v>
      </c>
      <c r="B131" t="s">
        <v>555</v>
      </c>
      <c r="C131" t="s">
        <v>20</v>
      </c>
      <c r="D131" t="s">
        <v>556</v>
      </c>
      <c r="E131" t="s">
        <v>22</v>
      </c>
      <c r="F131" t="s">
        <v>153</v>
      </c>
      <c r="G131">
        <v>0</v>
      </c>
      <c r="H131">
        <v>2200</v>
      </c>
      <c r="J131" t="s">
        <v>557</v>
      </c>
      <c r="K131">
        <v>0</v>
      </c>
      <c r="L131">
        <v>1971</v>
      </c>
      <c r="M131">
        <v>55</v>
      </c>
      <c r="N131" t="s">
        <v>2225</v>
      </c>
      <c r="O131" t="s">
        <v>2927</v>
      </c>
      <c r="P131">
        <v>26985.200000000001</v>
      </c>
      <c r="Q131">
        <v>34289.199999999997</v>
      </c>
      <c r="R131">
        <v>7476</v>
      </c>
      <c r="S131">
        <v>4.5865703584804702</v>
      </c>
      <c r="T131">
        <v>16038</v>
      </c>
      <c r="U131">
        <v>0.46610000000000001</v>
      </c>
    </row>
    <row r="132" spans="1:21" x14ac:dyDescent="0.3">
      <c r="A132" t="s">
        <v>558</v>
      </c>
      <c r="B132" t="s">
        <v>559</v>
      </c>
      <c r="C132" t="s">
        <v>41</v>
      </c>
      <c r="D132" t="s">
        <v>560</v>
      </c>
      <c r="E132" t="s">
        <v>22</v>
      </c>
      <c r="F132" t="s">
        <v>33</v>
      </c>
      <c r="G132">
        <v>0</v>
      </c>
      <c r="H132">
        <v>11050</v>
      </c>
      <c r="J132" t="s">
        <v>561</v>
      </c>
      <c r="K132">
        <v>0</v>
      </c>
      <c r="L132">
        <v>1999</v>
      </c>
      <c r="M132">
        <v>27</v>
      </c>
      <c r="N132" t="s">
        <v>2227</v>
      </c>
      <c r="O132" t="s">
        <v>2928</v>
      </c>
      <c r="P132">
        <v>28260.6</v>
      </c>
      <c r="Q132">
        <v>27658.3</v>
      </c>
      <c r="R132">
        <v>1163.5999999999999</v>
      </c>
      <c r="S132">
        <v>23.769594362323822</v>
      </c>
      <c r="T132">
        <v>4662</v>
      </c>
      <c r="U132">
        <v>0.24959999999999999</v>
      </c>
    </row>
    <row r="133" spans="1:21" x14ac:dyDescent="0.3">
      <c r="A133" t="s">
        <v>562</v>
      </c>
      <c r="B133" t="s">
        <v>563</v>
      </c>
      <c r="C133" t="s">
        <v>41</v>
      </c>
      <c r="D133" t="s">
        <v>564</v>
      </c>
      <c r="E133" t="s">
        <v>22</v>
      </c>
      <c r="F133" t="s">
        <v>153</v>
      </c>
      <c r="G133">
        <v>0</v>
      </c>
      <c r="H133">
        <v>1762</v>
      </c>
      <c r="J133" t="s">
        <v>565</v>
      </c>
      <c r="K133">
        <v>0</v>
      </c>
      <c r="L133">
        <v>2007</v>
      </c>
      <c r="M133">
        <v>19</v>
      </c>
      <c r="N133" t="s">
        <v>2229</v>
      </c>
      <c r="O133" t="s">
        <v>2927</v>
      </c>
      <c r="P133">
        <v>49104.3</v>
      </c>
      <c r="Q133">
        <v>69511.3</v>
      </c>
      <c r="R133">
        <v>10374</v>
      </c>
      <c r="S133">
        <v>6.7005301715828036</v>
      </c>
      <c r="T133">
        <v>14295</v>
      </c>
      <c r="U133">
        <v>0.72570000000000001</v>
      </c>
    </row>
    <row r="134" spans="1:21" x14ac:dyDescent="0.3">
      <c r="A134" t="s">
        <v>566</v>
      </c>
      <c r="B134" t="s">
        <v>567</v>
      </c>
      <c r="C134" t="s">
        <v>20</v>
      </c>
      <c r="D134" t="s">
        <v>568</v>
      </c>
      <c r="E134" t="s">
        <v>22</v>
      </c>
      <c r="F134" t="s">
        <v>80</v>
      </c>
      <c r="G134">
        <v>0</v>
      </c>
      <c r="H134">
        <v>4282</v>
      </c>
      <c r="J134" t="s">
        <v>569</v>
      </c>
      <c r="K134">
        <v>0</v>
      </c>
      <c r="L134">
        <v>2004</v>
      </c>
      <c r="M134">
        <v>22</v>
      </c>
      <c r="N134" t="s">
        <v>2231</v>
      </c>
      <c r="O134" t="s">
        <v>2927</v>
      </c>
      <c r="P134">
        <v>60888.7</v>
      </c>
      <c r="Q134">
        <v>80341</v>
      </c>
      <c r="R134">
        <v>2779.6</v>
      </c>
      <c r="S134">
        <v>28.903799107785293</v>
      </c>
      <c r="T134">
        <v>6080.7</v>
      </c>
      <c r="U134">
        <v>0.45710000000000001</v>
      </c>
    </row>
    <row r="135" spans="1:21" x14ac:dyDescent="0.3">
      <c r="A135" t="s">
        <v>570</v>
      </c>
      <c r="B135" t="s">
        <v>571</v>
      </c>
      <c r="C135" t="s">
        <v>20</v>
      </c>
      <c r="D135" t="s">
        <v>572</v>
      </c>
      <c r="E135" t="s">
        <v>22</v>
      </c>
      <c r="F135" t="s">
        <v>100</v>
      </c>
      <c r="G135">
        <v>0</v>
      </c>
      <c r="H135">
        <v>194200</v>
      </c>
      <c r="J135" t="s">
        <v>573</v>
      </c>
      <c r="K135">
        <v>0</v>
      </c>
      <c r="L135">
        <v>1939</v>
      </c>
      <c r="M135">
        <v>87</v>
      </c>
      <c r="N135" t="s">
        <v>2233</v>
      </c>
      <c r="O135" t="s">
        <v>2927</v>
      </c>
      <c r="P135">
        <v>34391.4</v>
      </c>
      <c r="Q135">
        <v>49659.199999999997</v>
      </c>
      <c r="R135">
        <v>3147.9</v>
      </c>
      <c r="S135">
        <v>15.77534229168652</v>
      </c>
      <c r="T135">
        <v>42117.7</v>
      </c>
      <c r="U135">
        <v>7.4700000000000003E-2</v>
      </c>
    </row>
    <row r="136" spans="1:21" x14ac:dyDescent="0.3">
      <c r="A136" t="s">
        <v>574</v>
      </c>
      <c r="B136" t="s">
        <v>575</v>
      </c>
      <c r="C136" t="s">
        <v>41</v>
      </c>
      <c r="D136" t="s">
        <v>576</v>
      </c>
      <c r="E136" t="s">
        <v>22</v>
      </c>
      <c r="F136" t="s">
        <v>100</v>
      </c>
      <c r="G136">
        <v>0</v>
      </c>
      <c r="H136">
        <v>139572</v>
      </c>
      <c r="J136" t="s">
        <v>577</v>
      </c>
      <c r="K136">
        <v>0</v>
      </c>
      <c r="L136">
        <v>1986</v>
      </c>
      <c r="M136">
        <v>40</v>
      </c>
      <c r="N136" t="s">
        <v>2235</v>
      </c>
      <c r="O136" t="s">
        <v>2927</v>
      </c>
      <c r="P136">
        <v>25151</v>
      </c>
      <c r="Q136">
        <v>32215.1</v>
      </c>
      <c r="R136">
        <v>2139.6999999999998</v>
      </c>
      <c r="S136">
        <v>15.055895686311166</v>
      </c>
      <c r="T136">
        <v>18960.900000000001</v>
      </c>
      <c r="U136">
        <v>0.1128</v>
      </c>
    </row>
    <row r="137" spans="1:21" x14ac:dyDescent="0.3">
      <c r="A137" t="s">
        <v>578</v>
      </c>
      <c r="B137" t="s">
        <v>579</v>
      </c>
      <c r="C137" t="s">
        <v>20</v>
      </c>
      <c r="D137" t="s">
        <v>580</v>
      </c>
      <c r="E137" t="s">
        <v>22</v>
      </c>
      <c r="F137" t="s">
        <v>89</v>
      </c>
      <c r="G137">
        <v>0</v>
      </c>
      <c r="H137">
        <v>15200</v>
      </c>
      <c r="J137" t="s">
        <v>581</v>
      </c>
      <c r="K137">
        <v>0</v>
      </c>
      <c r="L137">
        <v>1983</v>
      </c>
      <c r="M137">
        <v>43</v>
      </c>
      <c r="N137" t="s">
        <v>2237</v>
      </c>
      <c r="O137" t="s">
        <v>2927</v>
      </c>
      <c r="P137">
        <v>55486.5</v>
      </c>
      <c r="Q137">
        <v>110703.5</v>
      </c>
      <c r="R137">
        <v>8111</v>
      </c>
      <c r="S137">
        <v>13.648563678954506</v>
      </c>
      <c r="T137">
        <v>16506</v>
      </c>
      <c r="U137">
        <v>0.4914</v>
      </c>
    </row>
    <row r="138" spans="1:21" x14ac:dyDescent="0.3">
      <c r="A138" t="s">
        <v>582</v>
      </c>
      <c r="B138" t="s">
        <v>583</v>
      </c>
      <c r="C138" t="s">
        <v>41</v>
      </c>
      <c r="D138" t="s">
        <v>584</v>
      </c>
      <c r="E138" t="s">
        <v>22</v>
      </c>
      <c r="F138" t="s">
        <v>67</v>
      </c>
      <c r="G138">
        <v>0</v>
      </c>
      <c r="H138">
        <v>8200</v>
      </c>
      <c r="J138" t="s">
        <v>585</v>
      </c>
      <c r="K138">
        <v>0</v>
      </c>
      <c r="L138">
        <v>1960</v>
      </c>
      <c r="M138">
        <v>66</v>
      </c>
      <c r="N138" t="s">
        <v>2239</v>
      </c>
      <c r="O138" t="s">
        <v>2927</v>
      </c>
      <c r="P138">
        <v>13536</v>
      </c>
      <c r="Q138">
        <v>18458.599999999999</v>
      </c>
      <c r="R138">
        <v>1009.2</v>
      </c>
      <c r="S138">
        <v>18.290328973444311</v>
      </c>
      <c r="T138">
        <v>4940</v>
      </c>
      <c r="U138">
        <v>0.20430000000000001</v>
      </c>
    </row>
    <row r="139" spans="1:21" x14ac:dyDescent="0.3">
      <c r="A139" t="s">
        <v>586</v>
      </c>
      <c r="B139" t="s">
        <v>587</v>
      </c>
      <c r="C139" t="s">
        <v>41</v>
      </c>
      <c r="D139" t="s">
        <v>588</v>
      </c>
      <c r="E139" t="s">
        <v>22</v>
      </c>
      <c r="F139" t="s">
        <v>67</v>
      </c>
      <c r="G139">
        <v>0</v>
      </c>
      <c r="H139">
        <v>31400</v>
      </c>
      <c r="J139" t="s">
        <v>589</v>
      </c>
      <c r="K139">
        <v>0</v>
      </c>
      <c r="L139">
        <v>2013</v>
      </c>
      <c r="M139">
        <v>13</v>
      </c>
      <c r="N139" t="s">
        <v>2241</v>
      </c>
      <c r="O139" t="s">
        <v>2928</v>
      </c>
      <c r="P139">
        <v>76663.199999999997</v>
      </c>
      <c r="Q139">
        <v>74460.2</v>
      </c>
      <c r="R139">
        <v>1218</v>
      </c>
      <c r="S139">
        <v>61.133169129720848</v>
      </c>
      <c r="T139">
        <v>13717</v>
      </c>
      <c r="U139">
        <v>8.8800000000000004E-2</v>
      </c>
    </row>
    <row r="140" spans="1:21" x14ac:dyDescent="0.3">
      <c r="A140" t="s">
        <v>590</v>
      </c>
      <c r="B140" t="s">
        <v>591</v>
      </c>
      <c r="C140" t="s">
        <v>20</v>
      </c>
      <c r="D140" t="s">
        <v>592</v>
      </c>
      <c r="E140" t="s">
        <v>22</v>
      </c>
      <c r="F140" t="s">
        <v>28</v>
      </c>
      <c r="G140">
        <v>0</v>
      </c>
      <c r="H140">
        <v>24000</v>
      </c>
      <c r="J140" t="s">
        <v>593</v>
      </c>
      <c r="K140">
        <v>0</v>
      </c>
      <c r="L140">
        <v>1947</v>
      </c>
      <c r="M140">
        <v>79</v>
      </c>
      <c r="N140" t="s">
        <v>2243</v>
      </c>
      <c r="O140" t="s">
        <v>2927</v>
      </c>
      <c r="P140">
        <v>30412.400000000001</v>
      </c>
      <c r="Q140">
        <v>32320.1</v>
      </c>
      <c r="R140">
        <v>1824.4</v>
      </c>
      <c r="S140">
        <v>17.715468099101074</v>
      </c>
      <c r="T140">
        <v>8092.6</v>
      </c>
      <c r="U140">
        <v>0.22539999999999999</v>
      </c>
    </row>
    <row r="141" spans="1:21" x14ac:dyDescent="0.3">
      <c r="A141" t="s">
        <v>594</v>
      </c>
      <c r="B141" t="s">
        <v>595</v>
      </c>
      <c r="C141" t="s">
        <v>20</v>
      </c>
      <c r="D141" t="s">
        <v>596</v>
      </c>
      <c r="E141" t="s">
        <v>22</v>
      </c>
      <c r="F141" t="s">
        <v>62</v>
      </c>
      <c r="G141">
        <v>0</v>
      </c>
      <c r="H141">
        <v>34600</v>
      </c>
      <c r="J141" t="s">
        <v>597</v>
      </c>
      <c r="K141">
        <v>0</v>
      </c>
      <c r="L141">
        <v>1897</v>
      </c>
      <c r="M141">
        <v>129</v>
      </c>
      <c r="N141" t="s">
        <v>2245</v>
      </c>
      <c r="O141" t="s">
        <v>2927</v>
      </c>
      <c r="P141">
        <v>22113.9</v>
      </c>
      <c r="Q141">
        <v>38959.9</v>
      </c>
      <c r="R141">
        <v>2703</v>
      </c>
      <c r="S141">
        <v>14.413577506474288</v>
      </c>
      <c r="T141">
        <v>39968</v>
      </c>
      <c r="U141">
        <v>6.7599999999999993E-2</v>
      </c>
    </row>
    <row r="142" spans="1:21" x14ac:dyDescent="0.3">
      <c r="A142" t="s">
        <v>598</v>
      </c>
      <c r="B142" t="s">
        <v>599</v>
      </c>
      <c r="C142" t="s">
        <v>20</v>
      </c>
      <c r="D142" t="s">
        <v>600</v>
      </c>
      <c r="E142" t="s">
        <v>22</v>
      </c>
      <c r="F142" t="s">
        <v>89</v>
      </c>
      <c r="G142">
        <v>0</v>
      </c>
      <c r="H142">
        <v>9650</v>
      </c>
      <c r="J142" t="s">
        <v>601</v>
      </c>
      <c r="K142">
        <v>0</v>
      </c>
      <c r="L142">
        <v>1849</v>
      </c>
      <c r="M142">
        <v>177</v>
      </c>
      <c r="N142" t="s">
        <v>2247</v>
      </c>
      <c r="O142" t="s">
        <v>2927</v>
      </c>
      <c r="P142">
        <v>30804.799999999999</v>
      </c>
      <c r="Q142">
        <v>56891.8</v>
      </c>
      <c r="R142">
        <v>3617</v>
      </c>
      <c r="S142">
        <v>15.729001935305503</v>
      </c>
      <c r="T142">
        <v>15814</v>
      </c>
      <c r="U142">
        <v>0.22869999999999999</v>
      </c>
    </row>
    <row r="143" spans="1:21" x14ac:dyDescent="0.3">
      <c r="A143" t="s">
        <v>602</v>
      </c>
      <c r="B143" t="s">
        <v>603</v>
      </c>
      <c r="C143" t="s">
        <v>20</v>
      </c>
      <c r="D143" t="s">
        <v>604</v>
      </c>
      <c r="E143" t="s">
        <v>22</v>
      </c>
      <c r="F143" t="s">
        <v>89</v>
      </c>
      <c r="G143">
        <v>0</v>
      </c>
      <c r="H143">
        <v>26441</v>
      </c>
      <c r="I143" t="s">
        <v>605</v>
      </c>
      <c r="J143" t="s">
        <v>605</v>
      </c>
      <c r="K143">
        <v>1</v>
      </c>
      <c r="L143">
        <v>1904</v>
      </c>
      <c r="M143">
        <v>122</v>
      </c>
      <c r="N143" t="s">
        <v>2249</v>
      </c>
      <c r="O143" t="s">
        <v>2927</v>
      </c>
      <c r="P143">
        <v>101758.2</v>
      </c>
      <c r="Q143">
        <v>194770.2</v>
      </c>
      <c r="R143">
        <v>16281</v>
      </c>
      <c r="S143">
        <v>11.963036668509305</v>
      </c>
      <c r="T143">
        <v>31790</v>
      </c>
      <c r="U143">
        <v>0.5121</v>
      </c>
    </row>
    <row r="144" spans="1:21" x14ac:dyDescent="0.3">
      <c r="A144" t="s">
        <v>606</v>
      </c>
      <c r="B144" t="s">
        <v>607</v>
      </c>
      <c r="C144" t="s">
        <v>20</v>
      </c>
      <c r="D144" t="s">
        <v>608</v>
      </c>
      <c r="E144" t="s">
        <v>22</v>
      </c>
      <c r="F144" t="s">
        <v>62</v>
      </c>
      <c r="G144">
        <v>0</v>
      </c>
      <c r="H144">
        <v>15000</v>
      </c>
      <c r="I144" t="s">
        <v>609</v>
      </c>
      <c r="J144" t="s">
        <v>610</v>
      </c>
      <c r="K144">
        <v>1</v>
      </c>
      <c r="L144">
        <v>2015</v>
      </c>
      <c r="M144">
        <v>11</v>
      </c>
      <c r="N144" t="s">
        <v>2251</v>
      </c>
      <c r="O144" t="s">
        <v>2927</v>
      </c>
      <c r="P144">
        <v>20462.5</v>
      </c>
      <c r="Q144">
        <v>23384.5</v>
      </c>
      <c r="R144">
        <v>1512</v>
      </c>
      <c r="S144">
        <v>15.465939153439153</v>
      </c>
      <c r="T144">
        <v>6849</v>
      </c>
      <c r="U144">
        <v>0.2208</v>
      </c>
    </row>
    <row r="145" spans="1:21" x14ac:dyDescent="0.3">
      <c r="A145" t="s">
        <v>611</v>
      </c>
      <c r="B145" t="s">
        <v>612</v>
      </c>
      <c r="C145" t="s">
        <v>41</v>
      </c>
      <c r="D145" t="s">
        <v>613</v>
      </c>
      <c r="E145" t="s">
        <v>22</v>
      </c>
      <c r="F145" t="s">
        <v>67</v>
      </c>
      <c r="G145">
        <v>0</v>
      </c>
      <c r="H145">
        <v>12300</v>
      </c>
      <c r="J145" t="s">
        <v>614</v>
      </c>
      <c r="K145">
        <v>0</v>
      </c>
      <c r="L145">
        <v>1995</v>
      </c>
      <c r="M145">
        <v>31</v>
      </c>
      <c r="N145" t="s">
        <v>2253</v>
      </c>
      <c r="O145" t="s">
        <v>2928</v>
      </c>
      <c r="P145">
        <v>40705.300000000003</v>
      </c>
      <c r="Q145">
        <v>44968.3</v>
      </c>
      <c r="R145">
        <v>2714</v>
      </c>
      <c r="S145">
        <v>16.569012527634488</v>
      </c>
      <c r="T145">
        <v>11100</v>
      </c>
      <c r="U145">
        <v>0.2445</v>
      </c>
    </row>
    <row r="146" spans="1:21" x14ac:dyDescent="0.3">
      <c r="A146" t="s">
        <v>615</v>
      </c>
      <c r="B146" t="s">
        <v>616</v>
      </c>
      <c r="C146" t="s">
        <v>20</v>
      </c>
      <c r="D146" t="s">
        <v>617</v>
      </c>
      <c r="E146" t="s">
        <v>22</v>
      </c>
      <c r="F146" t="s">
        <v>62</v>
      </c>
      <c r="G146">
        <v>0</v>
      </c>
      <c r="H146">
        <v>48000</v>
      </c>
      <c r="J146" t="s">
        <v>618</v>
      </c>
      <c r="K146">
        <v>0</v>
      </c>
      <c r="L146">
        <v>1923</v>
      </c>
      <c r="M146">
        <v>103</v>
      </c>
      <c r="N146" t="s">
        <v>2258</v>
      </c>
      <c r="O146" t="s">
        <v>2927</v>
      </c>
      <c r="P146">
        <v>86945.3</v>
      </c>
      <c r="Q146">
        <v>95330.3</v>
      </c>
      <c r="R146">
        <v>3928</v>
      </c>
      <c r="S146">
        <v>24.269424643584522</v>
      </c>
      <c r="T146">
        <v>16081.2</v>
      </c>
      <c r="U146">
        <v>0.24429999999999999</v>
      </c>
    </row>
    <row r="147" spans="1:21" x14ac:dyDescent="0.3">
      <c r="A147" t="s">
        <v>619</v>
      </c>
      <c r="B147" t="s">
        <v>620</v>
      </c>
      <c r="C147" t="s">
        <v>20</v>
      </c>
      <c r="D147" t="s">
        <v>621</v>
      </c>
      <c r="E147" t="s">
        <v>22</v>
      </c>
      <c r="F147" t="s">
        <v>89</v>
      </c>
      <c r="G147">
        <v>0</v>
      </c>
      <c r="H147">
        <v>13725</v>
      </c>
      <c r="J147" t="s">
        <v>622</v>
      </c>
      <c r="K147">
        <v>0</v>
      </c>
      <c r="L147">
        <v>1886</v>
      </c>
      <c r="M147">
        <v>140</v>
      </c>
      <c r="N147" t="s">
        <v>2260</v>
      </c>
      <c r="O147" t="s">
        <v>2928</v>
      </c>
      <c r="P147">
        <v>28759.3</v>
      </c>
      <c r="Q147">
        <v>72327.3</v>
      </c>
      <c r="R147">
        <v>8247</v>
      </c>
      <c r="S147">
        <v>8.7701345943979625</v>
      </c>
      <c r="T147">
        <v>19317</v>
      </c>
      <c r="U147">
        <v>0.4269</v>
      </c>
    </row>
    <row r="148" spans="1:21" x14ac:dyDescent="0.3">
      <c r="A148" t="s">
        <v>623</v>
      </c>
      <c r="B148" t="s">
        <v>624</v>
      </c>
      <c r="C148" t="s">
        <v>20</v>
      </c>
      <c r="D148" t="s">
        <v>625</v>
      </c>
      <c r="E148" t="s">
        <v>22</v>
      </c>
      <c r="F148" t="s">
        <v>33</v>
      </c>
      <c r="G148">
        <v>0</v>
      </c>
      <c r="H148">
        <v>16000</v>
      </c>
      <c r="J148" t="s">
        <v>626</v>
      </c>
      <c r="K148">
        <v>0</v>
      </c>
      <c r="L148">
        <v>1958</v>
      </c>
      <c r="M148">
        <v>68</v>
      </c>
      <c r="N148" t="s">
        <v>2262</v>
      </c>
      <c r="O148" t="s">
        <v>2928</v>
      </c>
      <c r="P148">
        <v>50221.8</v>
      </c>
      <c r="Q148">
        <v>46693.8</v>
      </c>
      <c r="R148">
        <v>1794.5</v>
      </c>
      <c r="S148">
        <v>26.02050710504319</v>
      </c>
      <c r="T148">
        <v>6067.6</v>
      </c>
      <c r="U148">
        <v>0.29580000000000001</v>
      </c>
    </row>
    <row r="149" spans="1:21" x14ac:dyDescent="0.3">
      <c r="A149" t="s">
        <v>627</v>
      </c>
      <c r="B149" t="s">
        <v>628</v>
      </c>
      <c r="C149" t="s">
        <v>41</v>
      </c>
      <c r="D149" t="s">
        <v>629</v>
      </c>
      <c r="E149" t="s">
        <v>22</v>
      </c>
      <c r="F149" t="s">
        <v>95</v>
      </c>
      <c r="G149">
        <v>0</v>
      </c>
      <c r="H149">
        <v>14500</v>
      </c>
      <c r="J149" t="s">
        <v>630</v>
      </c>
      <c r="K149">
        <v>0</v>
      </c>
      <c r="L149">
        <v>1982</v>
      </c>
      <c r="M149">
        <v>44</v>
      </c>
      <c r="N149" t="s">
        <v>2264</v>
      </c>
      <c r="O149" t="s">
        <v>2928</v>
      </c>
      <c r="P149">
        <v>50193.4</v>
      </c>
      <c r="Q149">
        <v>49536.4</v>
      </c>
      <c r="R149">
        <v>1345</v>
      </c>
      <c r="S149">
        <v>36.830037174721191</v>
      </c>
      <c r="T149">
        <v>7306</v>
      </c>
      <c r="U149">
        <v>0.18410000000000001</v>
      </c>
    </row>
    <row r="150" spans="1:21" x14ac:dyDescent="0.3">
      <c r="A150" t="s">
        <v>631</v>
      </c>
      <c r="B150" t="s">
        <v>632</v>
      </c>
      <c r="C150" t="s">
        <v>20</v>
      </c>
      <c r="D150" t="s">
        <v>633</v>
      </c>
      <c r="E150" t="s">
        <v>22</v>
      </c>
      <c r="F150" t="s">
        <v>33</v>
      </c>
      <c r="G150">
        <v>0</v>
      </c>
      <c r="H150">
        <v>96615</v>
      </c>
      <c r="I150" t="s">
        <v>634</v>
      </c>
      <c r="J150" t="s">
        <v>634</v>
      </c>
      <c r="K150">
        <v>1</v>
      </c>
      <c r="L150">
        <v>2001</v>
      </c>
      <c r="M150">
        <v>25</v>
      </c>
      <c r="N150" t="s">
        <v>2266</v>
      </c>
      <c r="O150" t="s">
        <v>2927</v>
      </c>
      <c r="P150">
        <v>70625.5</v>
      </c>
      <c r="Q150">
        <v>94028.5</v>
      </c>
      <c r="R150">
        <v>9040</v>
      </c>
      <c r="S150">
        <v>10.401382743362833</v>
      </c>
      <c r="T150">
        <v>199126</v>
      </c>
      <c r="U150">
        <v>4.5400000000000003E-2</v>
      </c>
    </row>
    <row r="151" spans="1:21" x14ac:dyDescent="0.3">
      <c r="A151" t="s">
        <v>635</v>
      </c>
      <c r="B151" t="s">
        <v>636</v>
      </c>
      <c r="C151" t="s">
        <v>20</v>
      </c>
      <c r="D151" t="s">
        <v>637</v>
      </c>
      <c r="E151" t="s">
        <v>22</v>
      </c>
      <c r="F151" t="s">
        <v>33</v>
      </c>
      <c r="G151">
        <v>0</v>
      </c>
      <c r="H151">
        <v>50000</v>
      </c>
      <c r="J151" t="s">
        <v>638</v>
      </c>
      <c r="K151">
        <v>0</v>
      </c>
      <c r="L151">
        <v>1876</v>
      </c>
      <c r="M151">
        <v>150</v>
      </c>
      <c r="N151" t="s">
        <v>2268</v>
      </c>
      <c r="O151" t="s">
        <v>2927</v>
      </c>
      <c r="P151">
        <v>939803.1</v>
      </c>
      <c r="Q151">
        <v>976177.1</v>
      </c>
      <c r="R151">
        <v>31693</v>
      </c>
      <c r="S151">
        <v>30.801031773577762</v>
      </c>
      <c r="T151">
        <v>65179</v>
      </c>
      <c r="U151">
        <v>0.48620000000000002</v>
      </c>
    </row>
    <row r="152" spans="1:21" x14ac:dyDescent="0.3">
      <c r="A152" t="s">
        <v>639</v>
      </c>
      <c r="B152" t="s">
        <v>640</v>
      </c>
      <c r="C152" t="s">
        <v>20</v>
      </c>
      <c r="D152" t="s">
        <v>641</v>
      </c>
      <c r="E152" t="s">
        <v>22</v>
      </c>
      <c r="F152" t="s">
        <v>28</v>
      </c>
      <c r="G152">
        <v>0</v>
      </c>
      <c r="H152">
        <v>44000</v>
      </c>
      <c r="J152" t="s">
        <v>642</v>
      </c>
      <c r="K152">
        <v>0</v>
      </c>
      <c r="L152">
        <v>1987</v>
      </c>
      <c r="M152">
        <v>39</v>
      </c>
      <c r="N152" t="s">
        <v>2270</v>
      </c>
      <c r="O152" t="s">
        <v>2927</v>
      </c>
      <c r="P152">
        <v>32269.200000000001</v>
      </c>
      <c r="Q152">
        <v>31632.799999999999</v>
      </c>
      <c r="R152">
        <v>1765.3</v>
      </c>
      <c r="S152">
        <v>17.919220529088541</v>
      </c>
      <c r="T152">
        <v>16986.400000000001</v>
      </c>
      <c r="U152">
        <v>0.10390000000000001</v>
      </c>
    </row>
    <row r="153" spans="1:21" x14ac:dyDescent="0.3">
      <c r="A153" t="s">
        <v>643</v>
      </c>
      <c r="B153" t="s">
        <v>644</v>
      </c>
      <c r="C153" t="s">
        <v>20</v>
      </c>
      <c r="D153" t="s">
        <v>645</v>
      </c>
      <c r="E153" t="s">
        <v>22</v>
      </c>
      <c r="F153" t="s">
        <v>28</v>
      </c>
      <c r="G153">
        <v>0</v>
      </c>
      <c r="H153">
        <v>71000</v>
      </c>
      <c r="J153" t="s">
        <v>646</v>
      </c>
      <c r="K153">
        <v>0</v>
      </c>
      <c r="L153">
        <v>1890</v>
      </c>
      <c r="M153">
        <v>136</v>
      </c>
      <c r="N153" t="s">
        <v>2272</v>
      </c>
      <c r="O153" t="s">
        <v>2927</v>
      </c>
      <c r="P153">
        <v>84721.5</v>
      </c>
      <c r="Q153">
        <v>97047.5</v>
      </c>
      <c r="R153">
        <v>5878</v>
      </c>
      <c r="S153">
        <v>16.510292616536237</v>
      </c>
      <c r="T153">
        <v>18187</v>
      </c>
      <c r="U153">
        <v>0.32319999999999999</v>
      </c>
    </row>
    <row r="154" spans="1:21" x14ac:dyDescent="0.3">
      <c r="A154" t="s">
        <v>647</v>
      </c>
      <c r="B154" t="s">
        <v>648</v>
      </c>
      <c r="C154" t="s">
        <v>20</v>
      </c>
      <c r="D154" t="s">
        <v>649</v>
      </c>
      <c r="E154" t="s">
        <v>22</v>
      </c>
      <c r="F154" t="s">
        <v>89</v>
      </c>
      <c r="G154">
        <v>0</v>
      </c>
      <c r="H154">
        <v>12233</v>
      </c>
      <c r="J154" t="s">
        <v>650</v>
      </c>
      <c r="K154">
        <v>0</v>
      </c>
      <c r="L154">
        <v>1913</v>
      </c>
      <c r="M154">
        <v>113</v>
      </c>
      <c r="N154" t="s">
        <v>2274</v>
      </c>
      <c r="O154" t="s">
        <v>2927</v>
      </c>
      <c r="P154">
        <v>48519.7</v>
      </c>
      <c r="Q154">
        <v>78229.2</v>
      </c>
      <c r="R154">
        <v>5579.1</v>
      </c>
      <c r="S154">
        <v>14.021831478195406</v>
      </c>
      <c r="T154">
        <v>12946.7</v>
      </c>
      <c r="U154">
        <v>0.43090000000000001</v>
      </c>
    </row>
    <row r="155" spans="1:21" x14ac:dyDescent="0.3">
      <c r="A155" t="s">
        <v>651</v>
      </c>
      <c r="B155" t="s">
        <v>652</v>
      </c>
      <c r="C155" t="s">
        <v>20</v>
      </c>
      <c r="D155" t="s">
        <v>653</v>
      </c>
      <c r="E155" t="s">
        <v>22</v>
      </c>
      <c r="F155" t="s">
        <v>153</v>
      </c>
      <c r="G155">
        <v>0</v>
      </c>
      <c r="H155">
        <v>3400</v>
      </c>
      <c r="J155" t="s">
        <v>654</v>
      </c>
      <c r="K155">
        <v>0</v>
      </c>
      <c r="L155">
        <v>1985</v>
      </c>
      <c r="M155">
        <v>41</v>
      </c>
      <c r="N155" t="s">
        <v>2276</v>
      </c>
      <c r="O155" t="s">
        <v>2927</v>
      </c>
      <c r="P155">
        <v>66567.899999999994</v>
      </c>
      <c r="Q155">
        <v>72306.899999999994</v>
      </c>
      <c r="R155">
        <v>11724</v>
      </c>
      <c r="S155">
        <v>6.1674257932446261</v>
      </c>
      <c r="T155">
        <v>22654</v>
      </c>
      <c r="U155">
        <v>0.51749999999999996</v>
      </c>
    </row>
    <row r="156" spans="1:21" x14ac:dyDescent="0.3">
      <c r="A156" t="s">
        <v>655</v>
      </c>
      <c r="B156" t="s">
        <v>656</v>
      </c>
      <c r="C156" t="s">
        <v>20</v>
      </c>
      <c r="D156" t="s">
        <v>657</v>
      </c>
      <c r="E156" t="s">
        <v>22</v>
      </c>
      <c r="F156" t="s">
        <v>43</v>
      </c>
      <c r="G156">
        <v>0</v>
      </c>
      <c r="H156">
        <v>62850</v>
      </c>
      <c r="J156" t="s">
        <v>658</v>
      </c>
      <c r="K156">
        <v>0</v>
      </c>
      <c r="L156">
        <v>1993</v>
      </c>
      <c r="M156">
        <v>33</v>
      </c>
      <c r="N156" t="s">
        <v>2278</v>
      </c>
      <c r="O156" t="s">
        <v>2927</v>
      </c>
      <c r="P156">
        <v>7633.7</v>
      </c>
      <c r="Q156">
        <v>6481.9</v>
      </c>
      <c r="R156">
        <v>707.2</v>
      </c>
      <c r="S156">
        <v>9.1655825791855197</v>
      </c>
      <c r="T156">
        <v>5457.1</v>
      </c>
      <c r="U156">
        <v>0.12959999999999999</v>
      </c>
    </row>
    <row r="157" spans="1:21" x14ac:dyDescent="0.3">
      <c r="A157" t="s">
        <v>659</v>
      </c>
      <c r="B157" t="s">
        <v>660</v>
      </c>
      <c r="C157" t="s">
        <v>20</v>
      </c>
      <c r="D157" t="s">
        <v>661</v>
      </c>
      <c r="E157" t="s">
        <v>22</v>
      </c>
      <c r="F157" t="s">
        <v>153</v>
      </c>
      <c r="G157">
        <v>0</v>
      </c>
      <c r="H157">
        <v>1523</v>
      </c>
      <c r="J157" t="s">
        <v>662</v>
      </c>
      <c r="K157">
        <v>0</v>
      </c>
      <c r="L157">
        <v>1888</v>
      </c>
      <c r="M157">
        <v>138</v>
      </c>
      <c r="N157" t="s">
        <v>2280</v>
      </c>
      <c r="O157" t="s">
        <v>2927</v>
      </c>
      <c r="P157">
        <v>38379.4</v>
      </c>
      <c r="Q157">
        <v>49791.9</v>
      </c>
      <c r="R157">
        <v>6091</v>
      </c>
      <c r="S157">
        <v>8.174667542275488</v>
      </c>
      <c r="T157">
        <v>8180.7</v>
      </c>
      <c r="U157">
        <v>0.74460000000000004</v>
      </c>
    </row>
    <row r="158" spans="1:21" x14ac:dyDescent="0.3">
      <c r="A158" t="s">
        <v>663</v>
      </c>
      <c r="B158" t="s">
        <v>664</v>
      </c>
      <c r="C158" t="s">
        <v>20</v>
      </c>
      <c r="D158" t="s">
        <v>665</v>
      </c>
      <c r="E158" t="s">
        <v>22</v>
      </c>
      <c r="F158" t="s">
        <v>28</v>
      </c>
      <c r="G158">
        <v>0</v>
      </c>
      <c r="H158">
        <v>15000</v>
      </c>
      <c r="J158" t="s">
        <v>666</v>
      </c>
      <c r="K158">
        <v>0</v>
      </c>
      <c r="L158">
        <v>1899</v>
      </c>
      <c r="M158">
        <v>127</v>
      </c>
      <c r="N158" t="s">
        <v>2282</v>
      </c>
      <c r="O158" t="s">
        <v>2927</v>
      </c>
      <c r="P158">
        <v>25131.599999999999</v>
      </c>
      <c r="Q158">
        <v>30326.9</v>
      </c>
      <c r="R158">
        <v>1868.6</v>
      </c>
      <c r="S158">
        <v>16.229744193513863</v>
      </c>
      <c r="T158">
        <v>6074.5</v>
      </c>
      <c r="U158">
        <v>0.30759999999999998</v>
      </c>
    </row>
    <row r="159" spans="1:21" x14ac:dyDescent="0.3">
      <c r="A159" t="s">
        <v>667</v>
      </c>
      <c r="B159" t="s">
        <v>668</v>
      </c>
      <c r="C159" t="s">
        <v>41</v>
      </c>
      <c r="D159" t="s">
        <v>669</v>
      </c>
      <c r="E159" t="s">
        <v>22</v>
      </c>
      <c r="F159" t="s">
        <v>80</v>
      </c>
      <c r="G159">
        <v>0</v>
      </c>
      <c r="H159">
        <v>13716</v>
      </c>
      <c r="I159" t="s">
        <v>670</v>
      </c>
      <c r="J159" t="s">
        <v>670</v>
      </c>
      <c r="K159">
        <v>1</v>
      </c>
      <c r="L159">
        <v>1998</v>
      </c>
      <c r="M159">
        <v>28</v>
      </c>
      <c r="N159" t="s">
        <v>2284</v>
      </c>
      <c r="O159" t="s">
        <v>2928</v>
      </c>
      <c r="P159">
        <v>95725.8</v>
      </c>
      <c r="Q159">
        <v>116746.8</v>
      </c>
      <c r="R159">
        <v>4072</v>
      </c>
      <c r="S159">
        <v>28.670628683693518</v>
      </c>
      <c r="T159">
        <v>9260</v>
      </c>
      <c r="U159">
        <v>0.43969999999999998</v>
      </c>
    </row>
    <row r="160" spans="1:21" x14ac:dyDescent="0.3">
      <c r="A160" t="s">
        <v>671</v>
      </c>
      <c r="B160" t="s">
        <v>672</v>
      </c>
      <c r="C160" t="s">
        <v>20</v>
      </c>
      <c r="D160" t="s">
        <v>673</v>
      </c>
      <c r="E160" t="s">
        <v>22</v>
      </c>
      <c r="F160" t="s">
        <v>80</v>
      </c>
      <c r="G160">
        <v>0</v>
      </c>
      <c r="H160">
        <v>2400</v>
      </c>
      <c r="J160" t="s">
        <v>674</v>
      </c>
      <c r="K160">
        <v>0</v>
      </c>
      <c r="L160">
        <v>1993</v>
      </c>
      <c r="M160">
        <v>33</v>
      </c>
      <c r="N160" t="s">
        <v>2286</v>
      </c>
      <c r="O160" t="s">
        <v>2927</v>
      </c>
      <c r="P160">
        <v>23864.799999999999</v>
      </c>
      <c r="Q160">
        <v>32673.200000000001</v>
      </c>
      <c r="R160">
        <v>1882.2</v>
      </c>
      <c r="S160">
        <v>17.359047922643715</v>
      </c>
      <c r="T160">
        <v>3094</v>
      </c>
      <c r="U160">
        <v>0.60829999999999995</v>
      </c>
    </row>
    <row r="161" spans="1:21" x14ac:dyDescent="0.3">
      <c r="A161" t="s">
        <v>675</v>
      </c>
      <c r="B161" t="s">
        <v>676</v>
      </c>
      <c r="C161" t="s">
        <v>41</v>
      </c>
      <c r="D161" t="s">
        <v>677</v>
      </c>
      <c r="E161" t="s">
        <v>22</v>
      </c>
      <c r="F161" t="s">
        <v>53</v>
      </c>
      <c r="G161">
        <v>1</v>
      </c>
      <c r="H161">
        <v>6667</v>
      </c>
      <c r="J161" t="s">
        <v>678</v>
      </c>
      <c r="K161">
        <v>0</v>
      </c>
      <c r="L161">
        <v>1925</v>
      </c>
      <c r="M161">
        <v>101</v>
      </c>
      <c r="N161" t="s">
        <v>2288</v>
      </c>
      <c r="O161" t="s">
        <v>2927</v>
      </c>
      <c r="P161">
        <v>14089</v>
      </c>
      <c r="Q161">
        <v>13801.3</v>
      </c>
      <c r="R161">
        <v>809</v>
      </c>
      <c r="S161">
        <v>17.059703337453644</v>
      </c>
      <c r="T161">
        <v>4067.3</v>
      </c>
      <c r="U161">
        <v>0.19889999999999999</v>
      </c>
    </row>
    <row r="162" spans="1:21" x14ac:dyDescent="0.3">
      <c r="A162" t="s">
        <v>679</v>
      </c>
      <c r="B162" t="s">
        <v>680</v>
      </c>
      <c r="C162" t="s">
        <v>20</v>
      </c>
      <c r="D162" t="s">
        <v>681</v>
      </c>
      <c r="E162" t="s">
        <v>22</v>
      </c>
      <c r="F162" t="s">
        <v>80</v>
      </c>
      <c r="G162">
        <v>0</v>
      </c>
      <c r="H162">
        <v>1688</v>
      </c>
      <c r="I162" t="s">
        <v>682</v>
      </c>
      <c r="J162" t="s">
        <v>682</v>
      </c>
      <c r="K162">
        <v>1</v>
      </c>
      <c r="L162">
        <v>1971</v>
      </c>
      <c r="M162">
        <v>55</v>
      </c>
      <c r="N162" t="s">
        <v>2290</v>
      </c>
      <c r="O162" t="s">
        <v>2928</v>
      </c>
      <c r="P162">
        <v>16448.3</v>
      </c>
      <c r="Q162">
        <v>23417.4</v>
      </c>
      <c r="R162">
        <v>1255.4000000000001</v>
      </c>
      <c r="S162">
        <v>18.653337581647282</v>
      </c>
      <c r="T162">
        <v>1935.4</v>
      </c>
      <c r="U162">
        <v>0.64870000000000005</v>
      </c>
    </row>
    <row r="163" spans="1:21" x14ac:dyDescent="0.3">
      <c r="A163" t="s">
        <v>683</v>
      </c>
      <c r="B163" t="s">
        <v>684</v>
      </c>
      <c r="C163" t="s">
        <v>41</v>
      </c>
      <c r="D163" t="s">
        <v>685</v>
      </c>
      <c r="E163" t="s">
        <v>22</v>
      </c>
      <c r="F163" t="s">
        <v>89</v>
      </c>
      <c r="G163">
        <v>0</v>
      </c>
      <c r="H163">
        <v>4691</v>
      </c>
      <c r="J163" t="s">
        <v>686</v>
      </c>
      <c r="K163">
        <v>0</v>
      </c>
      <c r="L163">
        <v>2017</v>
      </c>
      <c r="M163">
        <v>9</v>
      </c>
      <c r="N163" t="s">
        <v>2292</v>
      </c>
      <c r="O163" t="s">
        <v>2927</v>
      </c>
      <c r="P163">
        <v>19265.400000000001</v>
      </c>
      <c r="Q163">
        <v>34685.300000000003</v>
      </c>
      <c r="R163">
        <v>2741.4</v>
      </c>
      <c r="S163">
        <v>12.652403881228571</v>
      </c>
      <c r="T163">
        <v>5961.6</v>
      </c>
      <c r="U163">
        <v>0.45979999999999999</v>
      </c>
    </row>
    <row r="164" spans="1:21" x14ac:dyDescent="0.3">
      <c r="A164" t="s">
        <v>687</v>
      </c>
      <c r="B164" t="s">
        <v>688</v>
      </c>
      <c r="C164" t="s">
        <v>20</v>
      </c>
      <c r="D164" t="s">
        <v>689</v>
      </c>
      <c r="E164" t="s">
        <v>22</v>
      </c>
      <c r="F164" t="s">
        <v>89</v>
      </c>
      <c r="G164">
        <v>0</v>
      </c>
      <c r="H164">
        <v>10731</v>
      </c>
      <c r="J164" t="s">
        <v>690</v>
      </c>
      <c r="K164">
        <v>0</v>
      </c>
      <c r="L164">
        <v>1927</v>
      </c>
      <c r="M164">
        <v>99</v>
      </c>
      <c r="N164" t="s">
        <v>2294</v>
      </c>
      <c r="O164" t="s">
        <v>2927</v>
      </c>
      <c r="P164">
        <v>28616.6</v>
      </c>
      <c r="Q164">
        <v>58880.800000000003</v>
      </c>
      <c r="R164">
        <v>4696.5</v>
      </c>
      <c r="S164">
        <v>12.537165974661983</v>
      </c>
      <c r="T164">
        <v>13547.2</v>
      </c>
      <c r="U164">
        <v>0.34670000000000001</v>
      </c>
    </row>
    <row r="165" spans="1:21" x14ac:dyDescent="0.3">
      <c r="A165" t="s">
        <v>691</v>
      </c>
      <c r="B165" t="s">
        <v>692</v>
      </c>
      <c r="C165" t="s">
        <v>41</v>
      </c>
      <c r="D165" t="s">
        <v>693</v>
      </c>
      <c r="E165" t="s">
        <v>22</v>
      </c>
      <c r="F165" t="s">
        <v>89</v>
      </c>
      <c r="G165">
        <v>0</v>
      </c>
      <c r="H165">
        <v>20571</v>
      </c>
      <c r="J165" t="s">
        <v>694</v>
      </c>
      <c r="K165">
        <v>0</v>
      </c>
      <c r="L165">
        <v>1999</v>
      </c>
      <c r="M165">
        <v>27</v>
      </c>
      <c r="N165" t="s">
        <v>2296</v>
      </c>
      <c r="O165" t="s">
        <v>2927</v>
      </c>
      <c r="P165">
        <v>50602.5</v>
      </c>
      <c r="Q165">
        <v>100222.5</v>
      </c>
      <c r="R165">
        <v>8142</v>
      </c>
      <c r="S165">
        <v>12.309322033898304</v>
      </c>
      <c r="T165">
        <v>24258</v>
      </c>
      <c r="U165">
        <v>0.33560000000000001</v>
      </c>
    </row>
    <row r="166" spans="1:21" x14ac:dyDescent="0.3">
      <c r="A166" t="s">
        <v>695</v>
      </c>
      <c r="B166" t="s">
        <v>696</v>
      </c>
      <c r="C166" t="s">
        <v>41</v>
      </c>
      <c r="D166" t="s">
        <v>697</v>
      </c>
      <c r="E166" t="s">
        <v>22</v>
      </c>
      <c r="F166" t="s">
        <v>153</v>
      </c>
      <c r="G166">
        <v>0</v>
      </c>
      <c r="H166">
        <v>1600</v>
      </c>
      <c r="J166" t="s">
        <v>698</v>
      </c>
      <c r="K166">
        <v>0</v>
      </c>
      <c r="L166">
        <v>1989</v>
      </c>
      <c r="M166">
        <v>37</v>
      </c>
      <c r="N166" t="s">
        <v>2298</v>
      </c>
      <c r="O166" t="s">
        <v>2927</v>
      </c>
      <c r="P166">
        <v>25943.8</v>
      </c>
      <c r="Q166">
        <v>30435.8</v>
      </c>
      <c r="R166">
        <v>5615</v>
      </c>
      <c r="S166">
        <v>5.420445235975067</v>
      </c>
      <c r="T166">
        <v>11639</v>
      </c>
      <c r="U166">
        <v>0.4824</v>
      </c>
    </row>
    <row r="167" spans="1:21" x14ac:dyDescent="0.3">
      <c r="A167" t="s">
        <v>699</v>
      </c>
      <c r="B167" t="s">
        <v>700</v>
      </c>
      <c r="C167" t="s">
        <v>41</v>
      </c>
      <c r="D167" t="s">
        <v>701</v>
      </c>
      <c r="E167" t="s">
        <v>22</v>
      </c>
      <c r="F167" t="s">
        <v>67</v>
      </c>
      <c r="G167">
        <v>0</v>
      </c>
      <c r="H167">
        <v>16000</v>
      </c>
      <c r="I167" t="s">
        <v>702</v>
      </c>
      <c r="J167" t="s">
        <v>702</v>
      </c>
      <c r="K167">
        <v>1</v>
      </c>
      <c r="L167">
        <v>1996</v>
      </c>
      <c r="M167">
        <v>30</v>
      </c>
      <c r="N167" t="s">
        <v>2300</v>
      </c>
      <c r="O167" t="s">
        <v>2927</v>
      </c>
      <c r="P167">
        <v>26429.5</v>
      </c>
      <c r="Q167">
        <v>28446.5</v>
      </c>
      <c r="R167">
        <v>2301</v>
      </c>
      <c r="S167">
        <v>12.362668405041287</v>
      </c>
      <c r="T167">
        <v>14733</v>
      </c>
      <c r="U167">
        <v>0.15620000000000001</v>
      </c>
    </row>
    <row r="168" spans="1:21" x14ac:dyDescent="0.3">
      <c r="A168" t="s">
        <v>703</v>
      </c>
      <c r="B168" t="s">
        <v>704</v>
      </c>
      <c r="C168" t="s">
        <v>20</v>
      </c>
      <c r="D168" t="s">
        <v>705</v>
      </c>
      <c r="E168" t="s">
        <v>22</v>
      </c>
      <c r="F168" t="s">
        <v>28</v>
      </c>
      <c r="G168">
        <v>0</v>
      </c>
      <c r="H168">
        <v>19800</v>
      </c>
      <c r="J168" t="s">
        <v>706</v>
      </c>
      <c r="K168">
        <v>0</v>
      </c>
      <c r="L168">
        <v>1979</v>
      </c>
      <c r="M168">
        <v>47</v>
      </c>
      <c r="N168" t="s">
        <v>2302</v>
      </c>
      <c r="O168" t="s">
        <v>2927</v>
      </c>
      <c r="P168">
        <v>19362</v>
      </c>
      <c r="Q168">
        <v>18620.8</v>
      </c>
      <c r="R168">
        <v>1109.3</v>
      </c>
      <c r="S168">
        <v>16.786081312539441</v>
      </c>
      <c r="T168">
        <v>11069</v>
      </c>
      <c r="U168">
        <v>0.1002</v>
      </c>
    </row>
    <row r="169" spans="1:21" x14ac:dyDescent="0.3">
      <c r="A169" t="s">
        <v>707</v>
      </c>
      <c r="B169" t="s">
        <v>708</v>
      </c>
      <c r="C169" t="s">
        <v>20</v>
      </c>
      <c r="D169" t="s">
        <v>709</v>
      </c>
      <c r="E169" t="s">
        <v>22</v>
      </c>
      <c r="F169" t="s">
        <v>80</v>
      </c>
      <c r="G169">
        <v>0</v>
      </c>
      <c r="H169">
        <v>8393</v>
      </c>
      <c r="J169" t="s">
        <v>710</v>
      </c>
      <c r="K169">
        <v>0</v>
      </c>
      <c r="L169">
        <v>1977</v>
      </c>
      <c r="M169">
        <v>49</v>
      </c>
      <c r="N169" t="s">
        <v>2304</v>
      </c>
      <c r="O169" t="s">
        <v>2927</v>
      </c>
      <c r="P169">
        <v>31888.1</v>
      </c>
      <c r="Q169">
        <v>46771.5</v>
      </c>
      <c r="R169">
        <v>2268.8000000000002</v>
      </c>
      <c r="S169">
        <v>20.615082863187588</v>
      </c>
      <c r="T169">
        <v>3446.4</v>
      </c>
      <c r="U169">
        <v>0.6583</v>
      </c>
    </row>
    <row r="170" spans="1:21" x14ac:dyDescent="0.3">
      <c r="A170" t="s">
        <v>711</v>
      </c>
      <c r="B170" t="s">
        <v>712</v>
      </c>
      <c r="C170" t="s">
        <v>20</v>
      </c>
      <c r="D170" t="s">
        <v>713</v>
      </c>
      <c r="E170" t="s">
        <v>22</v>
      </c>
      <c r="F170" t="s">
        <v>153</v>
      </c>
      <c r="G170">
        <v>0</v>
      </c>
      <c r="H170">
        <v>57900</v>
      </c>
      <c r="J170" t="s">
        <v>714</v>
      </c>
      <c r="K170">
        <v>0</v>
      </c>
      <c r="L170">
        <v>1870</v>
      </c>
      <c r="M170">
        <v>156</v>
      </c>
      <c r="N170" t="s">
        <v>2306</v>
      </c>
      <c r="O170" t="s">
        <v>2927</v>
      </c>
      <c r="P170">
        <v>635431.4</v>
      </c>
      <c r="Q170">
        <v>682477.4</v>
      </c>
      <c r="R170">
        <v>59386</v>
      </c>
      <c r="S170">
        <v>11.492227124238036</v>
      </c>
      <c r="T170">
        <v>323905</v>
      </c>
      <c r="U170">
        <v>0.18329999999999999</v>
      </c>
    </row>
    <row r="171" spans="1:21" x14ac:dyDescent="0.3">
      <c r="A171" t="s">
        <v>715</v>
      </c>
      <c r="B171" t="s">
        <v>716</v>
      </c>
      <c r="C171" t="s">
        <v>41</v>
      </c>
      <c r="D171" t="s">
        <v>717</v>
      </c>
      <c r="E171" t="s">
        <v>22</v>
      </c>
      <c r="F171" t="s">
        <v>43</v>
      </c>
      <c r="G171">
        <v>0</v>
      </c>
      <c r="H171">
        <v>6545</v>
      </c>
      <c r="J171" t="s">
        <v>718</v>
      </c>
      <c r="K171">
        <v>0</v>
      </c>
      <c r="L171">
        <v>1996</v>
      </c>
      <c r="M171">
        <v>30</v>
      </c>
      <c r="N171" t="s">
        <v>2308</v>
      </c>
      <c r="O171" t="s">
        <v>2927</v>
      </c>
      <c r="P171">
        <v>15337.1</v>
      </c>
      <c r="Q171">
        <v>14405.1</v>
      </c>
      <c r="R171">
        <v>883.5</v>
      </c>
      <c r="S171">
        <v>16.304584040747031</v>
      </c>
      <c r="T171">
        <v>3144</v>
      </c>
      <c r="U171">
        <v>0.28100000000000003</v>
      </c>
    </row>
    <row r="172" spans="1:21" x14ac:dyDescent="0.3">
      <c r="A172" t="s">
        <v>719</v>
      </c>
      <c r="B172" t="s">
        <v>720</v>
      </c>
      <c r="C172" t="s">
        <v>20</v>
      </c>
      <c r="D172" t="s">
        <v>721</v>
      </c>
      <c r="E172" t="s">
        <v>22</v>
      </c>
      <c r="F172" t="s">
        <v>53</v>
      </c>
      <c r="G172">
        <v>1</v>
      </c>
      <c r="H172">
        <v>12886</v>
      </c>
      <c r="J172" t="s">
        <v>722</v>
      </c>
      <c r="K172">
        <v>0</v>
      </c>
      <c r="L172">
        <v>1978</v>
      </c>
      <c r="M172">
        <v>48</v>
      </c>
      <c r="N172" t="s">
        <v>2310</v>
      </c>
      <c r="O172" t="s">
        <v>2927</v>
      </c>
      <c r="P172">
        <v>8043.5</v>
      </c>
      <c r="Q172">
        <v>9310.7999999999993</v>
      </c>
      <c r="R172">
        <v>921.7</v>
      </c>
      <c r="S172">
        <v>10.101768471303025</v>
      </c>
      <c r="T172">
        <v>2360.6999999999998</v>
      </c>
      <c r="U172">
        <v>0.39040000000000002</v>
      </c>
    </row>
    <row r="173" spans="1:21" x14ac:dyDescent="0.3">
      <c r="A173" t="s">
        <v>723</v>
      </c>
      <c r="B173" t="s">
        <v>724</v>
      </c>
      <c r="C173" t="s">
        <v>20</v>
      </c>
      <c r="D173" t="s">
        <v>725</v>
      </c>
      <c r="E173" t="s">
        <v>22</v>
      </c>
      <c r="F173" t="s">
        <v>43</v>
      </c>
      <c r="G173">
        <v>0</v>
      </c>
      <c r="H173">
        <v>3762</v>
      </c>
      <c r="J173" t="s">
        <v>726</v>
      </c>
      <c r="K173">
        <v>0</v>
      </c>
      <c r="L173">
        <v>1956</v>
      </c>
      <c r="M173">
        <v>70</v>
      </c>
      <c r="N173" t="s">
        <v>2312</v>
      </c>
      <c r="O173" t="s">
        <v>2927</v>
      </c>
      <c r="P173">
        <v>33433</v>
      </c>
      <c r="Q173">
        <v>36485.699999999997</v>
      </c>
      <c r="R173">
        <v>1005.7</v>
      </c>
      <c r="S173">
        <v>36.278910211792777</v>
      </c>
      <c r="T173">
        <v>2062.9</v>
      </c>
      <c r="U173">
        <v>0.48749999999999999</v>
      </c>
    </row>
    <row r="174" spans="1:21" x14ac:dyDescent="0.3">
      <c r="A174" t="s">
        <v>727</v>
      </c>
      <c r="B174" t="s">
        <v>728</v>
      </c>
      <c r="C174" t="s">
        <v>41</v>
      </c>
      <c r="D174" t="s">
        <v>729</v>
      </c>
      <c r="E174" t="s">
        <v>22</v>
      </c>
      <c r="F174" t="s">
        <v>28</v>
      </c>
      <c r="G174">
        <v>0</v>
      </c>
      <c r="H174">
        <v>21602</v>
      </c>
      <c r="J174" t="s">
        <v>730</v>
      </c>
      <c r="K174">
        <v>0</v>
      </c>
      <c r="L174">
        <v>1967</v>
      </c>
      <c r="M174">
        <v>59</v>
      </c>
      <c r="N174" t="s">
        <v>2314</v>
      </c>
      <c r="O174" t="s">
        <v>2927</v>
      </c>
      <c r="P174">
        <v>52869</v>
      </c>
      <c r="Q174">
        <v>53034.1</v>
      </c>
      <c r="R174">
        <v>1834.9</v>
      </c>
      <c r="S174">
        <v>28.90299198866423</v>
      </c>
      <c r="T174">
        <v>8200.5</v>
      </c>
      <c r="U174">
        <v>0.2238</v>
      </c>
    </row>
    <row r="175" spans="1:21" x14ac:dyDescent="0.3">
      <c r="A175" t="s">
        <v>731</v>
      </c>
      <c r="B175" t="s">
        <v>732</v>
      </c>
      <c r="C175" t="s">
        <v>20</v>
      </c>
      <c r="D175" t="s">
        <v>733</v>
      </c>
      <c r="E175" t="s">
        <v>22</v>
      </c>
      <c r="F175" t="s">
        <v>80</v>
      </c>
      <c r="G175">
        <v>0</v>
      </c>
      <c r="H175">
        <v>317</v>
      </c>
      <c r="J175" t="s">
        <v>734</v>
      </c>
      <c r="K175">
        <v>0</v>
      </c>
      <c r="L175">
        <v>1962</v>
      </c>
      <c r="M175">
        <v>64</v>
      </c>
      <c r="N175" t="s">
        <v>2316</v>
      </c>
      <c r="O175" t="s">
        <v>2927</v>
      </c>
      <c r="P175">
        <v>9384.2000000000007</v>
      </c>
      <c r="Q175">
        <v>14714.3</v>
      </c>
      <c r="R175">
        <v>814.5</v>
      </c>
      <c r="S175">
        <v>18.065438919582565</v>
      </c>
      <c r="T175">
        <v>1280.9000000000001</v>
      </c>
      <c r="U175">
        <v>0.63590000000000002</v>
      </c>
    </row>
    <row r="176" spans="1:21" x14ac:dyDescent="0.3">
      <c r="A176" t="s">
        <v>735</v>
      </c>
      <c r="B176" t="s">
        <v>736</v>
      </c>
      <c r="C176" t="s">
        <v>20</v>
      </c>
      <c r="D176" t="s">
        <v>737</v>
      </c>
      <c r="E176" t="s">
        <v>22</v>
      </c>
      <c r="F176" t="s">
        <v>28</v>
      </c>
      <c r="G176">
        <v>0</v>
      </c>
      <c r="H176">
        <v>405000</v>
      </c>
      <c r="J176" t="s">
        <v>738</v>
      </c>
      <c r="K176">
        <v>0</v>
      </c>
      <c r="L176">
        <v>1971</v>
      </c>
      <c r="M176">
        <v>55</v>
      </c>
      <c r="N176" t="s">
        <v>2318</v>
      </c>
      <c r="O176" t="s">
        <v>2927</v>
      </c>
      <c r="P176">
        <v>90992.5</v>
      </c>
      <c r="Q176">
        <v>122001.5</v>
      </c>
      <c r="R176">
        <v>11369</v>
      </c>
      <c r="S176">
        <v>10.731066936406016</v>
      </c>
      <c r="T176">
        <v>90093</v>
      </c>
      <c r="U176">
        <v>0.12620000000000001</v>
      </c>
    </row>
    <row r="177" spans="1:21" x14ac:dyDescent="0.3">
      <c r="A177" t="s">
        <v>739</v>
      </c>
      <c r="B177" t="s">
        <v>740</v>
      </c>
      <c r="C177" t="s">
        <v>20</v>
      </c>
      <c r="D177" t="s">
        <v>741</v>
      </c>
      <c r="E177" t="s">
        <v>22</v>
      </c>
      <c r="F177" t="s">
        <v>53</v>
      </c>
      <c r="G177">
        <v>1</v>
      </c>
      <c r="H177">
        <v>44000</v>
      </c>
      <c r="I177" t="s">
        <v>742</v>
      </c>
      <c r="J177" t="s">
        <v>742</v>
      </c>
      <c r="K177">
        <v>1</v>
      </c>
      <c r="L177">
        <v>1968</v>
      </c>
      <c r="M177">
        <v>58</v>
      </c>
      <c r="N177" t="s">
        <v>2320</v>
      </c>
      <c r="O177" t="s">
        <v>2927</v>
      </c>
      <c r="P177">
        <v>26214</v>
      </c>
      <c r="Q177">
        <v>38949</v>
      </c>
      <c r="R177">
        <v>3139</v>
      </c>
      <c r="S177">
        <v>12.408091748964639</v>
      </c>
      <c r="T177">
        <v>10677</v>
      </c>
      <c r="U177">
        <v>0.29399999999999998</v>
      </c>
    </row>
    <row r="178" spans="1:21" x14ac:dyDescent="0.3">
      <c r="A178" t="s">
        <v>743</v>
      </c>
      <c r="B178" t="s">
        <v>744</v>
      </c>
      <c r="C178" t="s">
        <v>41</v>
      </c>
      <c r="D178" t="s">
        <v>745</v>
      </c>
      <c r="E178" t="s">
        <v>22</v>
      </c>
      <c r="F178" t="s">
        <v>53</v>
      </c>
      <c r="G178">
        <v>1</v>
      </c>
      <c r="H178">
        <v>18676</v>
      </c>
      <c r="J178" t="s">
        <v>746</v>
      </c>
      <c r="K178">
        <v>0</v>
      </c>
      <c r="L178">
        <v>1858</v>
      </c>
      <c r="M178">
        <v>168</v>
      </c>
      <c r="N178" t="s">
        <v>2322</v>
      </c>
      <c r="O178" t="s">
        <v>2927</v>
      </c>
      <c r="P178">
        <v>44613</v>
      </c>
      <c r="Q178" t="s">
        <v>91</v>
      </c>
      <c r="R178">
        <v>0</v>
      </c>
      <c r="S178" t="e">
        <v>#VALUE!</v>
      </c>
      <c r="T178">
        <v>8355</v>
      </c>
      <c r="U178">
        <v>0</v>
      </c>
    </row>
    <row r="179" spans="1:21" x14ac:dyDescent="0.3">
      <c r="A179" t="s">
        <v>747</v>
      </c>
      <c r="B179" t="s">
        <v>748</v>
      </c>
      <c r="C179" t="s">
        <v>41</v>
      </c>
      <c r="D179" t="s">
        <v>749</v>
      </c>
      <c r="E179" t="s">
        <v>22</v>
      </c>
      <c r="F179" t="s">
        <v>43</v>
      </c>
      <c r="G179">
        <v>0</v>
      </c>
      <c r="H179">
        <v>7900</v>
      </c>
      <c r="J179" t="s">
        <v>750</v>
      </c>
      <c r="K179">
        <v>0</v>
      </c>
      <c r="L179">
        <v>1999</v>
      </c>
      <c r="M179">
        <v>27</v>
      </c>
      <c r="N179" t="s">
        <v>2324</v>
      </c>
      <c r="O179" t="s">
        <v>2927</v>
      </c>
      <c r="P179">
        <v>21161.7</v>
      </c>
      <c r="Q179">
        <v>18961.7</v>
      </c>
      <c r="R179">
        <v>2126.1</v>
      </c>
      <c r="S179">
        <v>8.9185362870984441</v>
      </c>
      <c r="T179">
        <v>5219.3999999999996</v>
      </c>
      <c r="U179">
        <v>0.4073</v>
      </c>
    </row>
    <row r="180" spans="1:21" x14ac:dyDescent="0.3">
      <c r="A180" t="s">
        <v>751</v>
      </c>
      <c r="B180" t="s">
        <v>752</v>
      </c>
      <c r="C180" t="s">
        <v>20</v>
      </c>
      <c r="D180" t="s">
        <v>753</v>
      </c>
      <c r="E180" t="s">
        <v>22</v>
      </c>
      <c r="F180" t="s">
        <v>89</v>
      </c>
      <c r="G180">
        <v>0</v>
      </c>
      <c r="H180">
        <v>11186</v>
      </c>
      <c r="J180" t="s">
        <v>754</v>
      </c>
      <c r="K180">
        <v>0</v>
      </c>
      <c r="L180">
        <v>1996</v>
      </c>
      <c r="M180">
        <v>30</v>
      </c>
      <c r="N180" t="s">
        <v>2326</v>
      </c>
      <c r="O180" t="s">
        <v>2927</v>
      </c>
      <c r="P180">
        <v>29567</v>
      </c>
      <c r="Q180">
        <v>57769</v>
      </c>
      <c r="R180">
        <v>5027</v>
      </c>
      <c r="S180">
        <v>11.491744579271932</v>
      </c>
      <c r="T180">
        <v>14901</v>
      </c>
      <c r="U180">
        <v>0.33739999999999998</v>
      </c>
    </row>
    <row r="181" spans="1:21" x14ac:dyDescent="0.3">
      <c r="A181" t="s">
        <v>755</v>
      </c>
      <c r="B181" t="s">
        <v>756</v>
      </c>
      <c r="C181" t="s">
        <v>41</v>
      </c>
      <c r="D181" t="s">
        <v>757</v>
      </c>
      <c r="E181" t="s">
        <v>22</v>
      </c>
      <c r="F181" t="s">
        <v>53</v>
      </c>
      <c r="G181">
        <v>1</v>
      </c>
      <c r="H181">
        <v>38000</v>
      </c>
      <c r="J181" t="s">
        <v>758</v>
      </c>
      <c r="K181">
        <v>0</v>
      </c>
      <c r="L181">
        <v>1984</v>
      </c>
      <c r="M181">
        <v>42</v>
      </c>
      <c r="N181" t="s">
        <v>2328</v>
      </c>
      <c r="O181" t="s">
        <v>2927</v>
      </c>
      <c r="P181">
        <v>33311.300000000003</v>
      </c>
      <c r="Q181">
        <v>62290.3</v>
      </c>
      <c r="R181">
        <v>8859</v>
      </c>
      <c r="S181">
        <v>7.031301501298115</v>
      </c>
      <c r="T181">
        <v>21193</v>
      </c>
      <c r="U181">
        <v>0.41799999999999998</v>
      </c>
    </row>
    <row r="182" spans="1:21" x14ac:dyDescent="0.3">
      <c r="A182" t="s">
        <v>759</v>
      </c>
      <c r="B182" t="s">
        <v>760</v>
      </c>
      <c r="C182" t="s">
        <v>20</v>
      </c>
      <c r="D182" t="s">
        <v>761</v>
      </c>
      <c r="E182" t="s">
        <v>22</v>
      </c>
      <c r="F182" t="s">
        <v>67</v>
      </c>
      <c r="G182">
        <v>0</v>
      </c>
      <c r="H182">
        <v>169000</v>
      </c>
      <c r="J182" t="s">
        <v>762</v>
      </c>
      <c r="K182">
        <v>0</v>
      </c>
      <c r="L182">
        <v>1903</v>
      </c>
      <c r="M182">
        <v>123</v>
      </c>
      <c r="N182" t="s">
        <v>2330</v>
      </c>
      <c r="O182" t="s">
        <v>2927</v>
      </c>
      <c r="P182">
        <v>56211.7</v>
      </c>
      <c r="Q182">
        <v>193544.7</v>
      </c>
      <c r="R182">
        <v>5393</v>
      </c>
      <c r="S182">
        <v>35.88813276469498</v>
      </c>
      <c r="T182">
        <v>187267</v>
      </c>
      <c r="U182">
        <v>2.8799999999999999E-2</v>
      </c>
    </row>
    <row r="183" spans="1:21" x14ac:dyDescent="0.3">
      <c r="A183" t="s">
        <v>763</v>
      </c>
      <c r="B183" t="s">
        <v>764</v>
      </c>
      <c r="C183" t="s">
        <v>41</v>
      </c>
      <c r="D183" t="s">
        <v>765</v>
      </c>
      <c r="E183" t="s">
        <v>22</v>
      </c>
      <c r="F183" t="s">
        <v>43</v>
      </c>
      <c r="G183">
        <v>0</v>
      </c>
      <c r="H183">
        <v>15109</v>
      </c>
      <c r="J183" t="s">
        <v>766</v>
      </c>
      <c r="K183">
        <v>0</v>
      </c>
      <c r="L183">
        <v>2000</v>
      </c>
      <c r="M183">
        <v>26</v>
      </c>
      <c r="N183" t="s">
        <v>2332</v>
      </c>
      <c r="O183" t="s">
        <v>2928</v>
      </c>
      <c r="P183">
        <v>58476.2</v>
      </c>
      <c r="Q183">
        <v>55955.5</v>
      </c>
      <c r="R183">
        <v>2226.3000000000002</v>
      </c>
      <c r="S183">
        <v>25.133854377217805</v>
      </c>
      <c r="T183">
        <v>6799.6</v>
      </c>
      <c r="U183">
        <v>0.32740000000000002</v>
      </c>
    </row>
    <row r="184" spans="1:21" x14ac:dyDescent="0.3">
      <c r="A184" t="s">
        <v>767</v>
      </c>
      <c r="B184" t="s">
        <v>768</v>
      </c>
      <c r="C184" t="s">
        <v>20</v>
      </c>
      <c r="D184" t="s">
        <v>769</v>
      </c>
      <c r="E184" t="s">
        <v>22</v>
      </c>
      <c r="F184" t="s">
        <v>28</v>
      </c>
      <c r="G184">
        <v>0</v>
      </c>
      <c r="H184">
        <v>10000</v>
      </c>
      <c r="J184" t="s">
        <v>770</v>
      </c>
      <c r="K184">
        <v>0</v>
      </c>
      <c r="L184">
        <v>2015</v>
      </c>
      <c r="M184">
        <v>11</v>
      </c>
      <c r="N184" t="s">
        <v>2334</v>
      </c>
      <c r="O184" t="s">
        <v>2927</v>
      </c>
      <c r="P184">
        <v>18225.3</v>
      </c>
      <c r="Q184">
        <v>21164.1</v>
      </c>
      <c r="R184">
        <v>1158.2</v>
      </c>
      <c r="S184">
        <v>18.273268865480915</v>
      </c>
      <c r="T184">
        <v>4159.1000000000004</v>
      </c>
      <c r="U184">
        <v>0.27850000000000003</v>
      </c>
    </row>
    <row r="185" spans="1:21" x14ac:dyDescent="0.3">
      <c r="A185" t="s">
        <v>771</v>
      </c>
      <c r="B185" t="s">
        <v>772</v>
      </c>
      <c r="C185" t="s">
        <v>41</v>
      </c>
      <c r="D185" t="s">
        <v>773</v>
      </c>
      <c r="E185" t="s">
        <v>22</v>
      </c>
      <c r="F185" t="s">
        <v>95</v>
      </c>
      <c r="G185">
        <v>0</v>
      </c>
      <c r="H185">
        <v>10400</v>
      </c>
      <c r="J185" t="s">
        <v>774</v>
      </c>
      <c r="K185">
        <v>0</v>
      </c>
      <c r="L185">
        <v>2018</v>
      </c>
      <c r="M185">
        <v>8</v>
      </c>
      <c r="N185" t="s">
        <v>2337</v>
      </c>
      <c r="O185" t="s">
        <v>2927</v>
      </c>
      <c r="P185">
        <v>22930.9</v>
      </c>
      <c r="Q185">
        <v>28602.9</v>
      </c>
      <c r="R185">
        <v>3533</v>
      </c>
      <c r="S185">
        <v>8.0959241437871494</v>
      </c>
      <c r="T185">
        <v>16578</v>
      </c>
      <c r="U185">
        <v>0.21310000000000001</v>
      </c>
    </row>
    <row r="186" spans="1:21" x14ac:dyDescent="0.3">
      <c r="A186" t="s">
        <v>775</v>
      </c>
      <c r="B186" t="s">
        <v>776</v>
      </c>
      <c r="C186" t="s">
        <v>20</v>
      </c>
      <c r="D186" t="s">
        <v>777</v>
      </c>
      <c r="E186" t="s">
        <v>22</v>
      </c>
      <c r="F186" t="s">
        <v>53</v>
      </c>
      <c r="G186">
        <v>1</v>
      </c>
      <c r="H186">
        <v>9900</v>
      </c>
      <c r="I186" t="s">
        <v>778</v>
      </c>
      <c r="J186" t="s">
        <v>779</v>
      </c>
      <c r="K186">
        <v>1</v>
      </c>
      <c r="L186">
        <v>1947</v>
      </c>
      <c r="M186">
        <v>79</v>
      </c>
      <c r="N186" t="s">
        <v>2339</v>
      </c>
      <c r="O186" t="s">
        <v>2928</v>
      </c>
      <c r="P186">
        <v>13821.1</v>
      </c>
      <c r="Q186">
        <v>16945.099999999999</v>
      </c>
      <c r="R186">
        <v>1702.6</v>
      </c>
      <c r="S186">
        <v>9.9524844355691293</v>
      </c>
      <c r="T186">
        <v>8846.2000000000007</v>
      </c>
      <c r="U186">
        <v>0.1925</v>
      </c>
    </row>
    <row r="187" spans="1:21" x14ac:dyDescent="0.3">
      <c r="A187" t="s">
        <v>780</v>
      </c>
      <c r="B187" t="s">
        <v>781</v>
      </c>
      <c r="C187" t="s">
        <v>20</v>
      </c>
      <c r="D187" t="s">
        <v>782</v>
      </c>
      <c r="E187" t="s">
        <v>22</v>
      </c>
      <c r="F187" t="s">
        <v>62</v>
      </c>
      <c r="G187">
        <v>0</v>
      </c>
      <c r="H187">
        <v>29000</v>
      </c>
      <c r="I187" t="s">
        <v>783</v>
      </c>
      <c r="J187" t="s">
        <v>783</v>
      </c>
      <c r="K187">
        <v>1</v>
      </c>
      <c r="L187">
        <v>1987</v>
      </c>
      <c r="M187">
        <v>39</v>
      </c>
      <c r="N187" t="s">
        <v>2341</v>
      </c>
      <c r="O187" t="s">
        <v>2927</v>
      </c>
      <c r="P187">
        <v>97844.7</v>
      </c>
      <c r="Q187">
        <v>116379.7</v>
      </c>
      <c r="R187">
        <v>9101</v>
      </c>
      <c r="S187">
        <v>12.787572794198439</v>
      </c>
      <c r="T187">
        <v>25915</v>
      </c>
      <c r="U187">
        <v>0.35120000000000001</v>
      </c>
    </row>
    <row r="188" spans="1:21" x14ac:dyDescent="0.3">
      <c r="A188" t="s">
        <v>784</v>
      </c>
      <c r="B188" t="s">
        <v>785</v>
      </c>
      <c r="C188" t="s">
        <v>20</v>
      </c>
      <c r="D188" t="s">
        <v>786</v>
      </c>
      <c r="E188" t="s">
        <v>22</v>
      </c>
      <c r="F188" t="s">
        <v>43</v>
      </c>
      <c r="G188">
        <v>0</v>
      </c>
      <c r="H188">
        <v>20244</v>
      </c>
      <c r="J188" t="s">
        <v>787</v>
      </c>
      <c r="K188">
        <v>0</v>
      </c>
      <c r="L188">
        <v>1979</v>
      </c>
      <c r="M188">
        <v>47</v>
      </c>
      <c r="N188" t="s">
        <v>2343</v>
      </c>
      <c r="O188" t="s">
        <v>2927</v>
      </c>
      <c r="P188">
        <v>11074.8</v>
      </c>
      <c r="Q188">
        <v>12700.2</v>
      </c>
      <c r="R188">
        <v>1310.5</v>
      </c>
      <c r="S188">
        <v>9.6911102632582988</v>
      </c>
      <c r="T188">
        <v>6497.2</v>
      </c>
      <c r="U188">
        <v>0.20169999999999999</v>
      </c>
    </row>
    <row r="189" spans="1:21" x14ac:dyDescent="0.3">
      <c r="A189" t="s">
        <v>788</v>
      </c>
      <c r="B189" t="s">
        <v>789</v>
      </c>
      <c r="C189" t="s">
        <v>41</v>
      </c>
      <c r="D189" t="s">
        <v>790</v>
      </c>
      <c r="E189" t="s">
        <v>22</v>
      </c>
      <c r="F189" t="s">
        <v>33</v>
      </c>
      <c r="G189">
        <v>0</v>
      </c>
      <c r="H189">
        <v>54000</v>
      </c>
      <c r="J189" t="s">
        <v>791</v>
      </c>
      <c r="K189">
        <v>0</v>
      </c>
      <c r="L189">
        <v>2022</v>
      </c>
      <c r="M189">
        <v>4</v>
      </c>
      <c r="N189" t="s">
        <v>2345</v>
      </c>
      <c r="O189" t="s">
        <v>2927</v>
      </c>
      <c r="P189">
        <v>38406</v>
      </c>
      <c r="Q189">
        <v>44597</v>
      </c>
      <c r="R189">
        <v>3642</v>
      </c>
      <c r="S189">
        <v>12.245194947830862</v>
      </c>
      <c r="T189">
        <v>20625</v>
      </c>
      <c r="U189">
        <v>0.17660000000000001</v>
      </c>
    </row>
    <row r="190" spans="1:21" x14ac:dyDescent="0.3">
      <c r="A190" t="s">
        <v>792</v>
      </c>
      <c r="B190" t="s">
        <v>793</v>
      </c>
      <c r="C190" t="s">
        <v>20</v>
      </c>
      <c r="D190" t="s">
        <v>794</v>
      </c>
      <c r="E190" t="s">
        <v>22</v>
      </c>
      <c r="F190" t="s">
        <v>28</v>
      </c>
      <c r="G190">
        <v>0</v>
      </c>
      <c r="H190">
        <v>78000</v>
      </c>
      <c r="J190" t="s">
        <v>795</v>
      </c>
      <c r="K190">
        <v>0</v>
      </c>
      <c r="L190">
        <v>2023</v>
      </c>
      <c r="M190">
        <v>3</v>
      </c>
      <c r="N190" t="s">
        <v>2347</v>
      </c>
      <c r="O190" t="s">
        <v>2927</v>
      </c>
      <c r="P190">
        <v>235460.9</v>
      </c>
      <c r="Q190">
        <v>228839.9</v>
      </c>
      <c r="R190">
        <v>2995</v>
      </c>
      <c r="S190">
        <v>76.407312186978302</v>
      </c>
      <c r="T190">
        <v>38068</v>
      </c>
      <c r="U190">
        <v>7.8700000000000006E-2</v>
      </c>
    </row>
    <row r="191" spans="1:21" x14ac:dyDescent="0.3">
      <c r="A191" t="s">
        <v>796</v>
      </c>
      <c r="B191" t="s">
        <v>797</v>
      </c>
      <c r="C191" t="s">
        <v>41</v>
      </c>
      <c r="D191" t="s">
        <v>798</v>
      </c>
      <c r="E191" t="s">
        <v>22</v>
      </c>
      <c r="F191" t="s">
        <v>43</v>
      </c>
      <c r="G191">
        <v>0</v>
      </c>
      <c r="H191">
        <v>3500</v>
      </c>
      <c r="J191" t="s">
        <v>799</v>
      </c>
      <c r="K191">
        <v>0</v>
      </c>
      <c r="L191">
        <v>1982</v>
      </c>
      <c r="M191">
        <v>44</v>
      </c>
      <c r="N191" t="s">
        <v>2349</v>
      </c>
      <c r="O191" t="s">
        <v>2927</v>
      </c>
      <c r="P191">
        <v>13669.8</v>
      </c>
      <c r="Q191">
        <v>21527.8</v>
      </c>
      <c r="R191">
        <v>2013</v>
      </c>
      <c r="S191">
        <v>10.69438648782911</v>
      </c>
      <c r="T191">
        <v>4727</v>
      </c>
      <c r="U191">
        <v>0.4259</v>
      </c>
    </row>
    <row r="192" spans="1:21" x14ac:dyDescent="0.3">
      <c r="A192" t="s">
        <v>800</v>
      </c>
      <c r="B192" t="s">
        <v>801</v>
      </c>
      <c r="C192" t="s">
        <v>20</v>
      </c>
      <c r="D192" t="s">
        <v>802</v>
      </c>
      <c r="E192" t="s">
        <v>22</v>
      </c>
      <c r="F192" t="s">
        <v>28</v>
      </c>
      <c r="G192">
        <v>0</v>
      </c>
      <c r="H192">
        <v>9400</v>
      </c>
      <c r="J192" t="s">
        <v>803</v>
      </c>
      <c r="K192">
        <v>0</v>
      </c>
      <c r="L192">
        <v>1959</v>
      </c>
      <c r="M192">
        <v>67</v>
      </c>
      <c r="N192" t="s">
        <v>2351</v>
      </c>
      <c r="O192" t="s">
        <v>2927</v>
      </c>
      <c r="P192">
        <v>13223.8</v>
      </c>
      <c r="Q192">
        <v>14273.9</v>
      </c>
      <c r="R192">
        <v>484</v>
      </c>
      <c r="S192">
        <v>29.491528925619836</v>
      </c>
      <c r="T192">
        <v>4209.1000000000004</v>
      </c>
      <c r="U192">
        <v>0.115</v>
      </c>
    </row>
    <row r="193" spans="1:21" x14ac:dyDescent="0.3">
      <c r="A193" t="s">
        <v>804</v>
      </c>
      <c r="B193" t="s">
        <v>805</v>
      </c>
      <c r="C193" t="s">
        <v>20</v>
      </c>
      <c r="D193" t="s">
        <v>806</v>
      </c>
      <c r="E193" t="s">
        <v>22</v>
      </c>
      <c r="F193" t="s">
        <v>28</v>
      </c>
      <c r="G193">
        <v>0</v>
      </c>
      <c r="H193">
        <v>117000</v>
      </c>
      <c r="I193" t="s">
        <v>807</v>
      </c>
      <c r="J193" t="s">
        <v>807</v>
      </c>
      <c r="K193">
        <v>1</v>
      </c>
      <c r="L193">
        <v>1899</v>
      </c>
      <c r="M193">
        <v>127</v>
      </c>
      <c r="N193" t="s">
        <v>2353</v>
      </c>
      <c r="O193" t="s">
        <v>2927</v>
      </c>
      <c r="P193">
        <v>96397.3</v>
      </c>
      <c r="Q193">
        <v>103853.3</v>
      </c>
      <c r="R193">
        <v>6344</v>
      </c>
      <c r="S193">
        <v>16.370318411097099</v>
      </c>
      <c r="T193">
        <v>52550</v>
      </c>
      <c r="U193">
        <v>0.1207</v>
      </c>
    </row>
    <row r="194" spans="1:21" x14ac:dyDescent="0.3">
      <c r="A194" t="s">
        <v>808</v>
      </c>
      <c r="B194" t="s">
        <v>809</v>
      </c>
      <c r="C194" t="s">
        <v>20</v>
      </c>
      <c r="D194" t="s">
        <v>810</v>
      </c>
      <c r="E194" t="s">
        <v>22</v>
      </c>
      <c r="F194" t="s">
        <v>28</v>
      </c>
      <c r="G194">
        <v>0</v>
      </c>
      <c r="H194">
        <v>57000</v>
      </c>
      <c r="J194" t="s">
        <v>811</v>
      </c>
      <c r="K194">
        <v>0</v>
      </c>
      <c r="L194">
        <v>1892</v>
      </c>
      <c r="M194">
        <v>134</v>
      </c>
      <c r="N194" t="s">
        <v>2355</v>
      </c>
      <c r="O194" t="s">
        <v>2927</v>
      </c>
      <c r="P194">
        <v>358966.9</v>
      </c>
      <c r="Q194">
        <v>368752.9</v>
      </c>
      <c r="R194">
        <v>10703</v>
      </c>
      <c r="S194">
        <v>34.453228066897132</v>
      </c>
      <c r="T194">
        <v>45855</v>
      </c>
      <c r="U194">
        <v>0.2334</v>
      </c>
    </row>
    <row r="195" spans="1:21" x14ac:dyDescent="0.3">
      <c r="A195" t="s">
        <v>812</v>
      </c>
      <c r="B195" t="s">
        <v>813</v>
      </c>
      <c r="C195" t="s">
        <v>20</v>
      </c>
      <c r="D195" t="s">
        <v>814</v>
      </c>
      <c r="E195" t="s">
        <v>22</v>
      </c>
      <c r="F195" t="s">
        <v>100</v>
      </c>
      <c r="G195">
        <v>0</v>
      </c>
      <c r="H195">
        <v>33000</v>
      </c>
      <c r="J195" t="s">
        <v>815</v>
      </c>
      <c r="K195">
        <v>0</v>
      </c>
      <c r="L195">
        <v>1866</v>
      </c>
      <c r="M195">
        <v>160</v>
      </c>
      <c r="N195" t="s">
        <v>2357</v>
      </c>
      <c r="O195" t="s">
        <v>2927</v>
      </c>
      <c r="P195">
        <v>24133.9</v>
      </c>
      <c r="Q195">
        <v>37197.699999999997</v>
      </c>
      <c r="R195">
        <v>3543.9</v>
      </c>
      <c r="S195">
        <v>10.49626118118457</v>
      </c>
      <c r="T195">
        <v>18776.7</v>
      </c>
      <c r="U195">
        <v>0.18870000000000001</v>
      </c>
    </row>
    <row r="196" spans="1:21" x14ac:dyDescent="0.3">
      <c r="A196" t="s">
        <v>816</v>
      </c>
      <c r="B196" t="s">
        <v>817</v>
      </c>
      <c r="C196" t="s">
        <v>20</v>
      </c>
      <c r="D196" t="s">
        <v>818</v>
      </c>
      <c r="E196" t="s">
        <v>22</v>
      </c>
      <c r="F196" t="s">
        <v>67</v>
      </c>
      <c r="G196">
        <v>0</v>
      </c>
      <c r="H196">
        <v>156000</v>
      </c>
      <c r="I196" t="s">
        <v>819</v>
      </c>
      <c r="J196" t="s">
        <v>819</v>
      </c>
      <c r="K196">
        <v>1</v>
      </c>
      <c r="L196">
        <v>1908</v>
      </c>
      <c r="M196">
        <v>118</v>
      </c>
      <c r="N196" t="s">
        <v>2359</v>
      </c>
      <c r="O196" t="s">
        <v>2927</v>
      </c>
      <c r="P196">
        <v>71151.3</v>
      </c>
      <c r="Q196">
        <v>177109.3</v>
      </c>
      <c r="R196">
        <v>17629</v>
      </c>
      <c r="S196">
        <v>10.04647455896534</v>
      </c>
      <c r="T196">
        <v>185019</v>
      </c>
      <c r="U196">
        <v>9.5299999999999996E-2</v>
      </c>
    </row>
    <row r="197" spans="1:21" x14ac:dyDescent="0.3">
      <c r="A197" t="s">
        <v>820</v>
      </c>
      <c r="B197" t="s">
        <v>821</v>
      </c>
      <c r="C197" t="s">
        <v>20</v>
      </c>
      <c r="D197" t="s">
        <v>822</v>
      </c>
      <c r="E197" t="s">
        <v>22</v>
      </c>
      <c r="F197" t="s">
        <v>67</v>
      </c>
      <c r="G197">
        <v>0</v>
      </c>
      <c r="H197">
        <v>65000</v>
      </c>
      <c r="J197" t="s">
        <v>823</v>
      </c>
      <c r="K197">
        <v>0</v>
      </c>
      <c r="L197">
        <v>1928</v>
      </c>
      <c r="M197">
        <v>98</v>
      </c>
      <c r="N197" t="s">
        <v>2361</v>
      </c>
      <c r="O197" t="s">
        <v>2927</v>
      </c>
      <c r="P197">
        <v>16591.7</v>
      </c>
      <c r="Q197">
        <v>23061.7</v>
      </c>
      <c r="R197">
        <v>2014.1</v>
      </c>
      <c r="S197">
        <v>11.450126607417706</v>
      </c>
      <c r="T197">
        <v>24300.1</v>
      </c>
      <c r="U197">
        <v>8.2900000000000001E-2</v>
      </c>
    </row>
    <row r="198" spans="1:21" x14ac:dyDescent="0.3">
      <c r="A198" t="s">
        <v>824</v>
      </c>
      <c r="B198" t="s">
        <v>825</v>
      </c>
      <c r="C198" t="s">
        <v>41</v>
      </c>
      <c r="D198" t="s">
        <v>826</v>
      </c>
      <c r="E198" t="s">
        <v>22</v>
      </c>
      <c r="F198" t="s">
        <v>33</v>
      </c>
      <c r="G198">
        <v>0</v>
      </c>
      <c r="H198">
        <v>17000</v>
      </c>
      <c r="J198" t="s">
        <v>827</v>
      </c>
      <c r="K198">
        <v>0</v>
      </c>
      <c r="L198">
        <v>1987</v>
      </c>
      <c r="M198">
        <v>39</v>
      </c>
      <c r="N198" t="s">
        <v>2363</v>
      </c>
      <c r="O198" t="s">
        <v>2928</v>
      </c>
      <c r="P198">
        <v>184909.6</v>
      </c>
      <c r="Q198">
        <v>197779.6</v>
      </c>
      <c r="R198">
        <v>14577</v>
      </c>
      <c r="S198">
        <v>13.567922069012829</v>
      </c>
      <c r="T198">
        <v>29443</v>
      </c>
      <c r="U198">
        <v>0.49509999999999998</v>
      </c>
    </row>
    <row r="199" spans="1:21" x14ac:dyDescent="0.3">
      <c r="A199" t="s">
        <v>828</v>
      </c>
      <c r="B199" t="s">
        <v>829</v>
      </c>
      <c r="C199" t="s">
        <v>20</v>
      </c>
      <c r="D199" t="s">
        <v>830</v>
      </c>
      <c r="E199" t="s">
        <v>22</v>
      </c>
      <c r="F199" t="s">
        <v>53</v>
      </c>
      <c r="G199">
        <v>1</v>
      </c>
      <c r="H199">
        <v>26000</v>
      </c>
      <c r="J199" t="s">
        <v>831</v>
      </c>
      <c r="K199">
        <v>0</v>
      </c>
      <c r="L199">
        <v>1967</v>
      </c>
      <c r="M199">
        <v>59</v>
      </c>
      <c r="N199" t="s">
        <v>2365</v>
      </c>
      <c r="O199" t="s">
        <v>2927</v>
      </c>
      <c r="P199">
        <v>21401.3</v>
      </c>
      <c r="Q199">
        <v>36145.599999999999</v>
      </c>
      <c r="R199">
        <v>3439.1</v>
      </c>
      <c r="S199">
        <v>10.510191619900555</v>
      </c>
      <c r="T199">
        <v>7705.9</v>
      </c>
      <c r="U199">
        <v>0.44629999999999997</v>
      </c>
    </row>
    <row r="200" spans="1:21" x14ac:dyDescent="0.3">
      <c r="A200" t="s">
        <v>832</v>
      </c>
      <c r="B200" t="s">
        <v>833</v>
      </c>
      <c r="C200" t="s">
        <v>20</v>
      </c>
      <c r="D200" t="s">
        <v>834</v>
      </c>
      <c r="E200" t="s">
        <v>22</v>
      </c>
      <c r="F200" t="s">
        <v>53</v>
      </c>
      <c r="G200">
        <v>1</v>
      </c>
      <c r="H200">
        <v>3695</v>
      </c>
      <c r="J200" t="s">
        <v>835</v>
      </c>
      <c r="K200">
        <v>0</v>
      </c>
      <c r="L200">
        <v>1900</v>
      </c>
      <c r="M200">
        <v>126</v>
      </c>
      <c r="N200" t="s">
        <v>2367</v>
      </c>
      <c r="O200" t="s">
        <v>2927</v>
      </c>
      <c r="P200">
        <v>11422.8</v>
      </c>
      <c r="Q200">
        <v>14340.6</v>
      </c>
      <c r="R200">
        <v>1624.2</v>
      </c>
      <c r="S200">
        <v>8.8293313631326189</v>
      </c>
      <c r="T200">
        <v>5994.3</v>
      </c>
      <c r="U200">
        <v>0.27100000000000002</v>
      </c>
    </row>
    <row r="201" spans="1:21" x14ac:dyDescent="0.3">
      <c r="A201" t="s">
        <v>836</v>
      </c>
      <c r="B201" t="s">
        <v>837</v>
      </c>
      <c r="C201" t="s">
        <v>20</v>
      </c>
      <c r="D201" t="s">
        <v>838</v>
      </c>
      <c r="E201" t="s">
        <v>22</v>
      </c>
      <c r="F201" t="s">
        <v>43</v>
      </c>
      <c r="G201">
        <v>0</v>
      </c>
      <c r="H201">
        <v>5845</v>
      </c>
      <c r="J201" t="s">
        <v>839</v>
      </c>
      <c r="K201">
        <v>0</v>
      </c>
      <c r="L201">
        <v>1997</v>
      </c>
      <c r="M201">
        <v>29</v>
      </c>
      <c r="N201" t="s">
        <v>2369</v>
      </c>
      <c r="O201" t="s">
        <v>2927</v>
      </c>
      <c r="P201">
        <v>11623.1</v>
      </c>
      <c r="Q201">
        <v>14355.6</v>
      </c>
      <c r="R201">
        <v>1255</v>
      </c>
      <c r="S201">
        <v>11.438725099601594</v>
      </c>
      <c r="T201">
        <v>4951.1000000000004</v>
      </c>
      <c r="U201">
        <v>0.2535</v>
      </c>
    </row>
    <row r="202" spans="1:21" x14ac:dyDescent="0.3">
      <c r="A202" t="s">
        <v>840</v>
      </c>
      <c r="B202" t="s">
        <v>841</v>
      </c>
      <c r="C202" t="s">
        <v>20</v>
      </c>
      <c r="D202" t="s">
        <v>842</v>
      </c>
      <c r="E202" t="s">
        <v>22</v>
      </c>
      <c r="F202" t="s">
        <v>153</v>
      </c>
      <c r="G202">
        <v>0</v>
      </c>
      <c r="H202">
        <v>46000</v>
      </c>
      <c r="J202" t="s">
        <v>843</v>
      </c>
      <c r="K202">
        <v>0</v>
      </c>
      <c r="L202">
        <v>1919</v>
      </c>
      <c r="M202">
        <v>107</v>
      </c>
      <c r="N202" t="s">
        <v>2371</v>
      </c>
      <c r="O202" t="s">
        <v>2927</v>
      </c>
      <c r="P202">
        <v>30151.5</v>
      </c>
      <c r="Q202">
        <v>36305.5</v>
      </c>
      <c r="R202">
        <v>4121</v>
      </c>
      <c r="S202">
        <v>8.8098762436301872</v>
      </c>
      <c r="T202">
        <v>22184</v>
      </c>
      <c r="U202">
        <v>0.18579999999999999</v>
      </c>
    </row>
    <row r="203" spans="1:21" x14ac:dyDescent="0.3">
      <c r="A203" t="s">
        <v>844</v>
      </c>
      <c r="B203" t="s">
        <v>845</v>
      </c>
      <c r="C203" t="s">
        <v>41</v>
      </c>
      <c r="D203" t="s">
        <v>846</v>
      </c>
      <c r="E203" t="s">
        <v>22</v>
      </c>
      <c r="F203" t="s">
        <v>67</v>
      </c>
      <c r="G203">
        <v>0</v>
      </c>
      <c r="H203">
        <v>4520</v>
      </c>
      <c r="J203" t="s">
        <v>847</v>
      </c>
      <c r="K203">
        <v>0</v>
      </c>
      <c r="L203">
        <v>1923</v>
      </c>
      <c r="M203">
        <v>103</v>
      </c>
      <c r="N203" t="s">
        <v>2373</v>
      </c>
      <c r="O203" t="s">
        <v>2927</v>
      </c>
      <c r="P203">
        <v>14010.9</v>
      </c>
      <c r="Q203">
        <v>16552.599999999999</v>
      </c>
      <c r="R203">
        <v>1200.0999999999999</v>
      </c>
      <c r="S203">
        <v>13.79268394300475</v>
      </c>
      <c r="T203">
        <v>4701.3</v>
      </c>
      <c r="U203">
        <v>0.25530000000000003</v>
      </c>
    </row>
    <row r="204" spans="1:21" x14ac:dyDescent="0.3">
      <c r="A204" t="s">
        <v>848</v>
      </c>
      <c r="B204" t="s">
        <v>849</v>
      </c>
      <c r="C204" t="s">
        <v>20</v>
      </c>
      <c r="D204" t="s">
        <v>850</v>
      </c>
      <c r="E204" t="s">
        <v>22</v>
      </c>
      <c r="F204" t="s">
        <v>33</v>
      </c>
      <c r="G204">
        <v>0</v>
      </c>
      <c r="H204">
        <v>275000</v>
      </c>
      <c r="J204" t="s">
        <v>851</v>
      </c>
      <c r="K204">
        <v>0</v>
      </c>
      <c r="L204">
        <v>1968</v>
      </c>
      <c r="M204">
        <v>58</v>
      </c>
      <c r="N204" t="s">
        <v>2375</v>
      </c>
      <c r="O204" t="s">
        <v>2927</v>
      </c>
      <c r="P204">
        <v>118414.5</v>
      </c>
      <c r="Q204">
        <v>169224.5</v>
      </c>
      <c r="R204">
        <v>15488</v>
      </c>
      <c r="S204">
        <v>10.926168646694215</v>
      </c>
      <c r="T204">
        <v>75600</v>
      </c>
      <c r="U204">
        <v>0.2049</v>
      </c>
    </row>
    <row r="205" spans="1:21" x14ac:dyDescent="0.3">
      <c r="A205" t="s">
        <v>852</v>
      </c>
      <c r="B205" t="s">
        <v>853</v>
      </c>
      <c r="C205" t="s">
        <v>20</v>
      </c>
      <c r="D205" t="s">
        <v>854</v>
      </c>
      <c r="E205" t="s">
        <v>22</v>
      </c>
      <c r="F205" t="s">
        <v>80</v>
      </c>
      <c r="G205">
        <v>0</v>
      </c>
      <c r="H205">
        <v>411</v>
      </c>
      <c r="J205" t="s">
        <v>855</v>
      </c>
      <c r="K205">
        <v>0</v>
      </c>
      <c r="L205">
        <v>1985</v>
      </c>
      <c r="M205">
        <v>41</v>
      </c>
      <c r="N205" t="s">
        <v>2377</v>
      </c>
      <c r="O205" t="s">
        <v>2927</v>
      </c>
      <c r="P205">
        <v>12288.4</v>
      </c>
      <c r="Q205">
        <v>22761.8</v>
      </c>
      <c r="R205">
        <v>1555.9</v>
      </c>
      <c r="S205">
        <v>14.6293463590205</v>
      </c>
      <c r="T205">
        <v>2822.5</v>
      </c>
      <c r="U205">
        <v>0.55120000000000002</v>
      </c>
    </row>
    <row r="206" spans="1:21" x14ac:dyDescent="0.3">
      <c r="A206" t="s">
        <v>856</v>
      </c>
      <c r="B206" t="s">
        <v>857</v>
      </c>
      <c r="C206" t="s">
        <v>41</v>
      </c>
      <c r="D206" t="s">
        <v>858</v>
      </c>
      <c r="E206" t="s">
        <v>22</v>
      </c>
      <c r="F206" t="s">
        <v>33</v>
      </c>
      <c r="G206">
        <v>0</v>
      </c>
      <c r="H206">
        <v>25000</v>
      </c>
      <c r="J206" t="s">
        <v>859</v>
      </c>
      <c r="K206">
        <v>0</v>
      </c>
      <c r="L206">
        <v>1932</v>
      </c>
      <c r="M206">
        <v>94</v>
      </c>
      <c r="N206" t="s">
        <v>2379</v>
      </c>
      <c r="O206" t="s">
        <v>2927</v>
      </c>
      <c r="P206">
        <v>9450.5</v>
      </c>
      <c r="Q206">
        <v>14282.5</v>
      </c>
      <c r="R206">
        <v>1023</v>
      </c>
      <c r="S206">
        <v>13.9613880742913</v>
      </c>
      <c r="T206">
        <v>13184</v>
      </c>
      <c r="U206">
        <v>7.7600000000000002E-2</v>
      </c>
    </row>
    <row r="207" spans="1:21" x14ac:dyDescent="0.3">
      <c r="A207" t="s">
        <v>860</v>
      </c>
      <c r="B207" t="s">
        <v>861</v>
      </c>
      <c r="C207" t="s">
        <v>20</v>
      </c>
      <c r="D207" t="s">
        <v>862</v>
      </c>
      <c r="E207" t="s">
        <v>22</v>
      </c>
      <c r="F207" t="s">
        <v>43</v>
      </c>
      <c r="G207">
        <v>0</v>
      </c>
      <c r="H207">
        <v>67000</v>
      </c>
      <c r="J207" t="s">
        <v>863</v>
      </c>
      <c r="K207">
        <v>0</v>
      </c>
      <c r="L207">
        <v>1939</v>
      </c>
      <c r="M207">
        <v>87</v>
      </c>
      <c r="N207" t="s">
        <v>2381</v>
      </c>
      <c r="O207" t="s">
        <v>2927</v>
      </c>
      <c r="P207">
        <v>28529.5</v>
      </c>
      <c r="Q207">
        <v>47626.5</v>
      </c>
      <c r="R207">
        <v>4491</v>
      </c>
      <c r="S207">
        <v>10.604876419505677</v>
      </c>
      <c r="T207">
        <v>34296</v>
      </c>
      <c r="U207">
        <v>0.13089999999999999</v>
      </c>
    </row>
    <row r="208" spans="1:21" x14ac:dyDescent="0.3">
      <c r="A208" t="s">
        <v>864</v>
      </c>
      <c r="B208" t="s">
        <v>865</v>
      </c>
      <c r="C208" t="s">
        <v>20</v>
      </c>
      <c r="D208" t="s">
        <v>866</v>
      </c>
      <c r="E208" t="s">
        <v>22</v>
      </c>
      <c r="F208" t="s">
        <v>67</v>
      </c>
      <c r="G208">
        <v>0</v>
      </c>
      <c r="H208">
        <v>182000</v>
      </c>
      <c r="J208" t="s">
        <v>867</v>
      </c>
      <c r="K208">
        <v>0</v>
      </c>
      <c r="L208">
        <v>1919</v>
      </c>
      <c r="M208">
        <v>107</v>
      </c>
      <c r="N208" t="s">
        <v>2383</v>
      </c>
      <c r="O208" t="s">
        <v>2927</v>
      </c>
      <c r="P208">
        <v>71488.5</v>
      </c>
      <c r="Q208">
        <v>83826.5</v>
      </c>
      <c r="R208">
        <v>2852</v>
      </c>
      <c r="S208">
        <v>29.392180925666199</v>
      </c>
      <c r="T208">
        <v>4954</v>
      </c>
      <c r="U208">
        <v>0.57569999999999999</v>
      </c>
    </row>
    <row r="209" spans="1:21" x14ac:dyDescent="0.3">
      <c r="A209" t="s">
        <v>868</v>
      </c>
      <c r="B209" t="s">
        <v>869</v>
      </c>
      <c r="C209" t="s">
        <v>41</v>
      </c>
      <c r="D209" t="s">
        <v>870</v>
      </c>
      <c r="E209" t="s">
        <v>22</v>
      </c>
      <c r="F209" t="s">
        <v>33</v>
      </c>
      <c r="G209">
        <v>0</v>
      </c>
      <c r="H209">
        <v>7070</v>
      </c>
      <c r="J209" t="s">
        <v>871</v>
      </c>
      <c r="K209">
        <v>0</v>
      </c>
      <c r="L209">
        <v>1985</v>
      </c>
      <c r="M209">
        <v>41</v>
      </c>
      <c r="N209" t="s">
        <v>2385</v>
      </c>
      <c r="O209" t="s">
        <v>2927</v>
      </c>
      <c r="P209">
        <v>16823.7</v>
      </c>
      <c r="Q209">
        <v>16977.400000000001</v>
      </c>
      <c r="R209">
        <v>1350.7</v>
      </c>
      <c r="S209">
        <v>12.569334419190051</v>
      </c>
      <c r="T209">
        <v>4126.5</v>
      </c>
      <c r="U209">
        <v>0.32729999999999998</v>
      </c>
    </row>
    <row r="210" spans="1:21" x14ac:dyDescent="0.3">
      <c r="A210" t="s">
        <v>872</v>
      </c>
      <c r="B210" t="s">
        <v>873</v>
      </c>
      <c r="C210" t="s">
        <v>41</v>
      </c>
      <c r="D210" t="s">
        <v>874</v>
      </c>
      <c r="E210" t="s">
        <v>22</v>
      </c>
      <c r="F210" t="s">
        <v>28</v>
      </c>
      <c r="G210">
        <v>0</v>
      </c>
      <c r="H210">
        <v>101000</v>
      </c>
      <c r="J210" t="s">
        <v>875</v>
      </c>
      <c r="K210">
        <v>0</v>
      </c>
      <c r="L210">
        <v>1885</v>
      </c>
      <c r="M210">
        <v>141</v>
      </c>
      <c r="N210" t="s">
        <v>2387</v>
      </c>
      <c r="O210" t="s">
        <v>2927</v>
      </c>
      <c r="P210">
        <v>154844.20000000001</v>
      </c>
      <c r="Q210">
        <v>178603.2</v>
      </c>
      <c r="R210">
        <v>8468</v>
      </c>
      <c r="S210">
        <v>21.091544638639586</v>
      </c>
      <c r="T210">
        <v>37442</v>
      </c>
      <c r="U210">
        <v>0.22620000000000001</v>
      </c>
    </row>
    <row r="211" spans="1:21" x14ac:dyDescent="0.3">
      <c r="A211" t="s">
        <v>876</v>
      </c>
      <c r="B211" t="s">
        <v>877</v>
      </c>
      <c r="C211" t="s">
        <v>20</v>
      </c>
      <c r="D211" t="s">
        <v>878</v>
      </c>
      <c r="E211" t="s">
        <v>22</v>
      </c>
      <c r="F211" t="s">
        <v>100</v>
      </c>
      <c r="G211">
        <v>0</v>
      </c>
      <c r="H211">
        <v>20000</v>
      </c>
      <c r="J211" t="s">
        <v>879</v>
      </c>
      <c r="K211">
        <v>0</v>
      </c>
      <c r="L211">
        <v>1891</v>
      </c>
      <c r="M211">
        <v>135</v>
      </c>
      <c r="N211" t="s">
        <v>2389</v>
      </c>
      <c r="O211" t="s">
        <v>2927</v>
      </c>
      <c r="P211">
        <v>14087.3</v>
      </c>
      <c r="Q211">
        <v>16058.3</v>
      </c>
      <c r="R211">
        <v>1211.5999999999999</v>
      </c>
      <c r="S211">
        <v>13.253796632551998</v>
      </c>
      <c r="T211">
        <v>12144.7</v>
      </c>
      <c r="U211">
        <v>9.98E-2</v>
      </c>
    </row>
    <row r="212" spans="1:21" x14ac:dyDescent="0.3">
      <c r="A212" t="s">
        <v>880</v>
      </c>
      <c r="B212" t="s">
        <v>881</v>
      </c>
      <c r="C212" t="s">
        <v>41</v>
      </c>
      <c r="D212" t="s">
        <v>882</v>
      </c>
      <c r="E212" t="s">
        <v>22</v>
      </c>
      <c r="F212" t="s">
        <v>80</v>
      </c>
      <c r="G212">
        <v>0</v>
      </c>
      <c r="H212">
        <v>162</v>
      </c>
      <c r="J212" t="s">
        <v>883</v>
      </c>
      <c r="K212">
        <v>0</v>
      </c>
      <c r="L212">
        <v>1927</v>
      </c>
      <c r="M212">
        <v>99</v>
      </c>
      <c r="N212" t="s">
        <v>2391</v>
      </c>
      <c r="O212" t="s">
        <v>2927</v>
      </c>
      <c r="P212">
        <v>13474</v>
      </c>
      <c r="Q212">
        <v>18520</v>
      </c>
      <c r="R212">
        <v>1644</v>
      </c>
      <c r="S212">
        <v>11.265206812652067</v>
      </c>
      <c r="T212">
        <v>6132</v>
      </c>
      <c r="U212">
        <v>0.2681</v>
      </c>
    </row>
    <row r="213" spans="1:21" x14ac:dyDescent="0.3">
      <c r="A213" t="s">
        <v>884</v>
      </c>
      <c r="B213" t="s">
        <v>885</v>
      </c>
      <c r="C213" t="s">
        <v>20</v>
      </c>
      <c r="D213" t="s">
        <v>886</v>
      </c>
      <c r="E213" t="s">
        <v>22</v>
      </c>
      <c r="F213" t="s">
        <v>28</v>
      </c>
      <c r="G213">
        <v>0</v>
      </c>
      <c r="H213">
        <v>25430</v>
      </c>
      <c r="J213" t="s">
        <v>887</v>
      </c>
      <c r="K213">
        <v>0</v>
      </c>
      <c r="L213">
        <v>1888</v>
      </c>
      <c r="M213">
        <v>138</v>
      </c>
      <c r="N213" t="s">
        <v>2393</v>
      </c>
      <c r="O213" t="s">
        <v>2927</v>
      </c>
      <c r="P213">
        <v>105258.8</v>
      </c>
      <c r="Q213">
        <v>107729.8</v>
      </c>
      <c r="R213">
        <v>2388</v>
      </c>
      <c r="S213">
        <v>45.112981574539361</v>
      </c>
      <c r="T213">
        <v>8252</v>
      </c>
      <c r="U213">
        <v>0.28939999999999999</v>
      </c>
    </row>
    <row r="214" spans="1:21" x14ac:dyDescent="0.3">
      <c r="A214" t="s">
        <v>888</v>
      </c>
      <c r="B214" t="s">
        <v>889</v>
      </c>
      <c r="C214" t="s">
        <v>20</v>
      </c>
      <c r="D214" t="s">
        <v>890</v>
      </c>
      <c r="E214" t="s">
        <v>22</v>
      </c>
      <c r="F214" t="s">
        <v>43</v>
      </c>
      <c r="G214">
        <v>0</v>
      </c>
      <c r="H214">
        <v>55000</v>
      </c>
      <c r="J214" t="s">
        <v>891</v>
      </c>
      <c r="K214">
        <v>0</v>
      </c>
      <c r="L214">
        <v>1939</v>
      </c>
      <c r="M214">
        <v>87</v>
      </c>
      <c r="N214" t="s">
        <v>2395</v>
      </c>
      <c r="O214" t="s">
        <v>2928</v>
      </c>
      <c r="P214">
        <v>17367.3</v>
      </c>
      <c r="Q214">
        <v>25151.3</v>
      </c>
      <c r="R214">
        <v>4457</v>
      </c>
      <c r="S214">
        <v>5.6431007404083466</v>
      </c>
      <c r="T214">
        <v>56229</v>
      </c>
      <c r="U214">
        <v>7.9299999999999995E-2</v>
      </c>
    </row>
    <row r="215" spans="1:21" x14ac:dyDescent="0.3">
      <c r="A215" t="s">
        <v>892</v>
      </c>
      <c r="B215" t="s">
        <v>893</v>
      </c>
      <c r="C215" t="s">
        <v>20</v>
      </c>
      <c r="D215" t="s">
        <v>894</v>
      </c>
      <c r="E215" t="s">
        <v>22</v>
      </c>
      <c r="F215" t="s">
        <v>28</v>
      </c>
      <c r="G215">
        <v>0</v>
      </c>
      <c r="H215">
        <v>18000</v>
      </c>
      <c r="J215" t="s">
        <v>895</v>
      </c>
      <c r="K215">
        <v>0</v>
      </c>
      <c r="L215">
        <v>1888</v>
      </c>
      <c r="M215">
        <v>138</v>
      </c>
      <c r="N215" t="s">
        <v>2397</v>
      </c>
      <c r="O215" t="s">
        <v>2927</v>
      </c>
      <c r="P215">
        <v>27199.1</v>
      </c>
      <c r="Q215">
        <v>29198.5</v>
      </c>
      <c r="R215">
        <v>1411.7</v>
      </c>
      <c r="S215">
        <v>20.683218814195651</v>
      </c>
      <c r="T215">
        <v>5844.6</v>
      </c>
      <c r="U215">
        <v>0.24149999999999999</v>
      </c>
    </row>
    <row r="216" spans="1:21" x14ac:dyDescent="0.3">
      <c r="A216" t="s">
        <v>896</v>
      </c>
      <c r="B216" t="s">
        <v>897</v>
      </c>
      <c r="C216" t="s">
        <v>20</v>
      </c>
      <c r="D216" t="s">
        <v>898</v>
      </c>
      <c r="E216" t="s">
        <v>22</v>
      </c>
      <c r="F216" t="s">
        <v>33</v>
      </c>
      <c r="G216">
        <v>0</v>
      </c>
      <c r="H216">
        <v>67060</v>
      </c>
      <c r="J216" t="s">
        <v>899</v>
      </c>
      <c r="K216">
        <v>0</v>
      </c>
      <c r="L216">
        <v>1961</v>
      </c>
      <c r="M216">
        <v>65</v>
      </c>
      <c r="N216" t="s">
        <v>2399</v>
      </c>
      <c r="O216" t="s">
        <v>2927</v>
      </c>
      <c r="P216">
        <v>22978.400000000001</v>
      </c>
      <c r="Q216">
        <v>32128.400000000001</v>
      </c>
      <c r="R216">
        <v>3569</v>
      </c>
      <c r="S216">
        <v>9.0020734099187454</v>
      </c>
      <c r="T216">
        <v>129664</v>
      </c>
      <c r="U216">
        <v>2.75E-2</v>
      </c>
    </row>
    <row r="217" spans="1:21" x14ac:dyDescent="0.3">
      <c r="A217" t="s">
        <v>900</v>
      </c>
      <c r="B217" t="s">
        <v>901</v>
      </c>
      <c r="C217" t="s">
        <v>41</v>
      </c>
      <c r="D217" t="s">
        <v>902</v>
      </c>
      <c r="E217" t="s">
        <v>22</v>
      </c>
      <c r="F217" t="s">
        <v>53</v>
      </c>
      <c r="G217">
        <v>1</v>
      </c>
      <c r="H217">
        <v>20424</v>
      </c>
      <c r="J217" t="s">
        <v>903</v>
      </c>
      <c r="K217">
        <v>0</v>
      </c>
      <c r="L217">
        <v>1866</v>
      </c>
      <c r="M217">
        <v>160</v>
      </c>
      <c r="N217" t="s">
        <v>2401</v>
      </c>
      <c r="O217" t="s">
        <v>2927</v>
      </c>
      <c r="P217">
        <v>34100.5</v>
      </c>
      <c r="Q217" t="s">
        <v>91</v>
      </c>
      <c r="R217">
        <v>0</v>
      </c>
      <c r="S217" t="e">
        <v>#VALUE!</v>
      </c>
      <c r="T217">
        <v>7692</v>
      </c>
      <c r="U217">
        <v>0</v>
      </c>
    </row>
    <row r="218" spans="1:21" x14ac:dyDescent="0.3">
      <c r="A218" t="s">
        <v>904</v>
      </c>
      <c r="B218" t="s">
        <v>905</v>
      </c>
      <c r="C218" t="s">
        <v>20</v>
      </c>
      <c r="D218" t="s">
        <v>906</v>
      </c>
      <c r="E218" t="s">
        <v>22</v>
      </c>
      <c r="F218" t="s">
        <v>28</v>
      </c>
      <c r="G218">
        <v>0</v>
      </c>
      <c r="H218">
        <v>44000</v>
      </c>
      <c r="J218" t="s">
        <v>907</v>
      </c>
      <c r="K218">
        <v>0</v>
      </c>
      <c r="L218">
        <v>1886</v>
      </c>
      <c r="M218">
        <v>140</v>
      </c>
      <c r="N218" t="s">
        <v>2403</v>
      </c>
      <c r="O218" t="s">
        <v>2927</v>
      </c>
      <c r="P218">
        <v>17444.2</v>
      </c>
      <c r="Q218">
        <v>19651.2</v>
      </c>
      <c r="R218">
        <v>1130</v>
      </c>
      <c r="S218">
        <v>17.390442477876107</v>
      </c>
      <c r="T218">
        <v>12484</v>
      </c>
      <c r="U218">
        <v>9.0499999999999997E-2</v>
      </c>
    </row>
    <row r="219" spans="1:21" x14ac:dyDescent="0.3">
      <c r="A219" t="s">
        <v>908</v>
      </c>
      <c r="B219" t="s">
        <v>909</v>
      </c>
      <c r="C219" t="s">
        <v>20</v>
      </c>
      <c r="D219" t="s">
        <v>910</v>
      </c>
      <c r="E219" t="s">
        <v>22</v>
      </c>
      <c r="F219" t="s">
        <v>28</v>
      </c>
      <c r="G219">
        <v>0</v>
      </c>
      <c r="H219">
        <v>8700</v>
      </c>
      <c r="J219" t="s">
        <v>911</v>
      </c>
      <c r="K219">
        <v>0</v>
      </c>
      <c r="L219">
        <v>1987</v>
      </c>
      <c r="M219">
        <v>39</v>
      </c>
      <c r="N219" t="s">
        <v>2405</v>
      </c>
      <c r="O219" t="s">
        <v>2927</v>
      </c>
      <c r="P219">
        <v>15573.6</v>
      </c>
      <c r="Q219">
        <v>16935</v>
      </c>
      <c r="R219">
        <v>931.4</v>
      </c>
      <c r="S219">
        <v>18.182306205711832</v>
      </c>
      <c r="T219">
        <v>3457.5</v>
      </c>
      <c r="U219">
        <v>0.26939999999999997</v>
      </c>
    </row>
    <row r="220" spans="1:21" x14ac:dyDescent="0.3">
      <c r="A220" t="s">
        <v>912</v>
      </c>
      <c r="B220" t="s">
        <v>913</v>
      </c>
      <c r="C220" t="s">
        <v>41</v>
      </c>
      <c r="D220" t="s">
        <v>914</v>
      </c>
      <c r="E220" t="s">
        <v>22</v>
      </c>
      <c r="F220" t="s">
        <v>33</v>
      </c>
      <c r="G220">
        <v>0</v>
      </c>
      <c r="H220">
        <v>11000</v>
      </c>
      <c r="J220" t="s">
        <v>915</v>
      </c>
      <c r="K220">
        <v>0</v>
      </c>
      <c r="L220">
        <v>1983</v>
      </c>
      <c r="M220">
        <v>43</v>
      </c>
      <c r="N220" t="s">
        <v>2407</v>
      </c>
      <c r="O220" t="s">
        <v>2927</v>
      </c>
      <c r="P220">
        <v>52291.5</v>
      </c>
      <c r="Q220">
        <v>53087.9</v>
      </c>
      <c r="R220">
        <v>1505.2</v>
      </c>
      <c r="S220">
        <v>35.269665160775979</v>
      </c>
      <c r="T220">
        <v>4303.7</v>
      </c>
      <c r="U220">
        <v>0.34970000000000001</v>
      </c>
    </row>
    <row r="221" spans="1:21" x14ac:dyDescent="0.3">
      <c r="A221" t="s">
        <v>916</v>
      </c>
      <c r="B221" t="s">
        <v>917</v>
      </c>
      <c r="C221" t="s">
        <v>20</v>
      </c>
      <c r="D221" t="s">
        <v>918</v>
      </c>
      <c r="E221" t="s">
        <v>22</v>
      </c>
      <c r="F221" t="s">
        <v>28</v>
      </c>
      <c r="G221">
        <v>0</v>
      </c>
      <c r="H221">
        <v>43000</v>
      </c>
      <c r="J221" t="s">
        <v>919</v>
      </c>
      <c r="K221">
        <v>0</v>
      </c>
      <c r="L221">
        <v>1912</v>
      </c>
      <c r="M221">
        <v>114</v>
      </c>
      <c r="N221" t="s">
        <v>2409</v>
      </c>
      <c r="O221" t="s">
        <v>2927</v>
      </c>
      <c r="P221">
        <v>83759.600000000006</v>
      </c>
      <c r="Q221">
        <v>92120.6</v>
      </c>
      <c r="R221">
        <v>4655</v>
      </c>
      <c r="S221">
        <v>19.789602577873257</v>
      </c>
      <c r="T221">
        <v>16044</v>
      </c>
      <c r="U221">
        <v>0.29010000000000002</v>
      </c>
    </row>
    <row r="222" spans="1:21" x14ac:dyDescent="0.3">
      <c r="A222" t="s">
        <v>920</v>
      </c>
      <c r="B222" t="s">
        <v>921</v>
      </c>
      <c r="C222" t="s">
        <v>41</v>
      </c>
      <c r="D222" t="s">
        <v>922</v>
      </c>
      <c r="E222" t="s">
        <v>22</v>
      </c>
      <c r="F222" t="s">
        <v>33</v>
      </c>
      <c r="G222">
        <v>0</v>
      </c>
      <c r="H222">
        <v>2844</v>
      </c>
      <c r="J222" t="s">
        <v>923</v>
      </c>
      <c r="K222">
        <v>0</v>
      </c>
      <c r="L222">
        <v>1991</v>
      </c>
      <c r="M222">
        <v>35</v>
      </c>
      <c r="N222" t="s">
        <v>2411</v>
      </c>
      <c r="O222" t="s">
        <v>2927</v>
      </c>
      <c r="P222">
        <v>20154.2</v>
      </c>
      <c r="Q222">
        <v>16628.5</v>
      </c>
      <c r="R222">
        <v>1439.8</v>
      </c>
      <c r="S222">
        <v>11.549173496318934</v>
      </c>
      <c r="T222">
        <v>5141.2</v>
      </c>
      <c r="U222">
        <v>0.28010000000000002</v>
      </c>
    </row>
    <row r="223" spans="1:21" x14ac:dyDescent="0.3">
      <c r="A223" t="s">
        <v>924</v>
      </c>
      <c r="B223" t="s">
        <v>925</v>
      </c>
      <c r="C223" t="s">
        <v>20</v>
      </c>
      <c r="D223" t="s">
        <v>926</v>
      </c>
      <c r="E223" t="s">
        <v>22</v>
      </c>
      <c r="F223" t="s">
        <v>28</v>
      </c>
      <c r="G223">
        <v>0</v>
      </c>
      <c r="H223">
        <v>21000</v>
      </c>
      <c r="J223" t="s">
        <v>149</v>
      </c>
      <c r="K223">
        <v>0</v>
      </c>
      <c r="L223">
        <v>1859</v>
      </c>
      <c r="M223">
        <v>167</v>
      </c>
      <c r="N223" t="s">
        <v>2413</v>
      </c>
      <c r="O223" t="s">
        <v>2927</v>
      </c>
      <c r="P223">
        <v>36866.9</v>
      </c>
      <c r="Q223">
        <v>40815.1</v>
      </c>
      <c r="R223">
        <v>2015.8</v>
      </c>
      <c r="S223">
        <v>20.247594007341998</v>
      </c>
      <c r="T223">
        <v>7650.9</v>
      </c>
      <c r="U223">
        <v>0.26350000000000001</v>
      </c>
    </row>
    <row r="224" spans="1:21" x14ac:dyDescent="0.3">
      <c r="A224" t="s">
        <v>927</v>
      </c>
      <c r="B224" t="s">
        <v>928</v>
      </c>
      <c r="C224" t="s">
        <v>41</v>
      </c>
      <c r="D224" t="s">
        <v>929</v>
      </c>
      <c r="E224" t="s">
        <v>22</v>
      </c>
      <c r="F224" t="s">
        <v>33</v>
      </c>
      <c r="G224">
        <v>0</v>
      </c>
      <c r="H224">
        <v>5400</v>
      </c>
      <c r="J224" t="s">
        <v>930</v>
      </c>
      <c r="K224">
        <v>0</v>
      </c>
      <c r="L224">
        <v>2000</v>
      </c>
      <c r="M224">
        <v>26</v>
      </c>
      <c r="N224" t="s">
        <v>2415</v>
      </c>
      <c r="O224" t="s">
        <v>2927</v>
      </c>
      <c r="P224">
        <v>17360.3</v>
      </c>
      <c r="Q224">
        <v>17646.900000000001</v>
      </c>
      <c r="R224">
        <v>564.20000000000005</v>
      </c>
      <c r="S224">
        <v>31.277738390641616</v>
      </c>
      <c r="T224">
        <v>2708.1</v>
      </c>
      <c r="U224">
        <v>0.20830000000000001</v>
      </c>
    </row>
    <row r="225" spans="1:21" x14ac:dyDescent="0.3">
      <c r="A225" t="s">
        <v>931</v>
      </c>
      <c r="B225" t="s">
        <v>932</v>
      </c>
      <c r="C225" t="s">
        <v>41</v>
      </c>
      <c r="D225" t="s">
        <v>933</v>
      </c>
      <c r="E225" t="s">
        <v>22</v>
      </c>
      <c r="F225" t="s">
        <v>43</v>
      </c>
      <c r="G225">
        <v>0</v>
      </c>
      <c r="H225">
        <v>85100</v>
      </c>
      <c r="J225" t="s">
        <v>934</v>
      </c>
      <c r="K225">
        <v>0</v>
      </c>
      <c r="L225">
        <v>1968</v>
      </c>
      <c r="M225">
        <v>58</v>
      </c>
      <c r="N225" t="s">
        <v>2417</v>
      </c>
      <c r="O225" t="s">
        <v>2928</v>
      </c>
      <c r="P225">
        <v>227830.1</v>
      </c>
      <c r="Q225">
        <v>249118.1</v>
      </c>
      <c r="R225">
        <v>12633</v>
      </c>
      <c r="S225">
        <v>19.719631124831789</v>
      </c>
      <c r="T225">
        <v>52853</v>
      </c>
      <c r="U225">
        <v>0.23899999999999999</v>
      </c>
    </row>
    <row r="226" spans="1:21" x14ac:dyDescent="0.3">
      <c r="A226" t="s">
        <v>935</v>
      </c>
      <c r="B226" t="s">
        <v>936</v>
      </c>
      <c r="C226" t="s">
        <v>41</v>
      </c>
      <c r="D226" t="s">
        <v>937</v>
      </c>
      <c r="E226" t="s">
        <v>22</v>
      </c>
      <c r="F226" t="s">
        <v>53</v>
      </c>
      <c r="G226">
        <v>1</v>
      </c>
      <c r="H226">
        <v>3131</v>
      </c>
      <c r="J226" t="s">
        <v>938</v>
      </c>
      <c r="K226">
        <v>0</v>
      </c>
      <c r="L226">
        <v>1977</v>
      </c>
      <c r="M226">
        <v>49</v>
      </c>
      <c r="N226" t="s">
        <v>2419</v>
      </c>
      <c r="O226" t="s">
        <v>2927</v>
      </c>
      <c r="P226">
        <v>31710.9</v>
      </c>
      <c r="Q226" t="s">
        <v>91</v>
      </c>
      <c r="R226">
        <v>0</v>
      </c>
      <c r="S226" t="e">
        <v>#VALUE!</v>
      </c>
      <c r="T226">
        <v>6209</v>
      </c>
      <c r="U226">
        <v>0</v>
      </c>
    </row>
    <row r="227" spans="1:21" x14ac:dyDescent="0.3">
      <c r="A227" t="s">
        <v>939</v>
      </c>
      <c r="B227" t="s">
        <v>940</v>
      </c>
      <c r="C227" t="s">
        <v>20</v>
      </c>
      <c r="D227" t="s">
        <v>941</v>
      </c>
      <c r="E227" t="s">
        <v>22</v>
      </c>
      <c r="F227" t="s">
        <v>53</v>
      </c>
      <c r="G227">
        <v>1</v>
      </c>
      <c r="H227">
        <v>12844</v>
      </c>
      <c r="J227" t="s">
        <v>942</v>
      </c>
      <c r="K227">
        <v>0</v>
      </c>
      <c r="L227">
        <v>2000</v>
      </c>
      <c r="M227">
        <v>26</v>
      </c>
      <c r="N227" t="s">
        <v>2421</v>
      </c>
      <c r="O227" t="s">
        <v>2927</v>
      </c>
      <c r="P227">
        <v>93208.9</v>
      </c>
      <c r="Q227">
        <v>112763.9</v>
      </c>
      <c r="R227">
        <v>6176</v>
      </c>
      <c r="S227">
        <v>18.258403497409326</v>
      </c>
      <c r="T227">
        <v>9931</v>
      </c>
      <c r="U227">
        <v>0.62190000000000001</v>
      </c>
    </row>
    <row r="228" spans="1:21" x14ac:dyDescent="0.3">
      <c r="A228" t="s">
        <v>943</v>
      </c>
      <c r="B228" t="s">
        <v>944</v>
      </c>
      <c r="C228" t="s">
        <v>20</v>
      </c>
      <c r="D228" t="s">
        <v>945</v>
      </c>
      <c r="E228" t="s">
        <v>22</v>
      </c>
      <c r="F228" t="s">
        <v>43</v>
      </c>
      <c r="G228">
        <v>0</v>
      </c>
      <c r="H228">
        <v>264300</v>
      </c>
      <c r="J228" t="s">
        <v>946</v>
      </c>
      <c r="K228">
        <v>0</v>
      </c>
      <c r="L228">
        <v>1911</v>
      </c>
      <c r="M228">
        <v>115</v>
      </c>
      <c r="N228" t="s">
        <v>2423</v>
      </c>
      <c r="O228" t="s">
        <v>2927</v>
      </c>
      <c r="P228">
        <v>225325.2</v>
      </c>
      <c r="Q228">
        <v>275608.2</v>
      </c>
      <c r="R228">
        <v>16118</v>
      </c>
      <c r="S228">
        <v>17.099404392604541</v>
      </c>
      <c r="T228">
        <v>67535</v>
      </c>
      <c r="U228">
        <v>0.2387</v>
      </c>
    </row>
    <row r="229" spans="1:21" x14ac:dyDescent="0.3">
      <c r="A229" t="s">
        <v>947</v>
      </c>
      <c r="B229" t="s">
        <v>948</v>
      </c>
      <c r="C229" t="s">
        <v>20</v>
      </c>
      <c r="D229" t="s">
        <v>949</v>
      </c>
      <c r="E229" t="s">
        <v>22</v>
      </c>
      <c r="F229" t="s">
        <v>62</v>
      </c>
      <c r="G229">
        <v>0</v>
      </c>
      <c r="H229">
        <v>22400</v>
      </c>
      <c r="J229" t="s">
        <v>950</v>
      </c>
      <c r="K229">
        <v>0</v>
      </c>
      <c r="L229">
        <v>1909</v>
      </c>
      <c r="M229">
        <v>117</v>
      </c>
      <c r="N229" t="s">
        <v>2425</v>
      </c>
      <c r="O229" t="s">
        <v>2927</v>
      </c>
      <c r="P229">
        <v>21007.9</v>
      </c>
      <c r="Q229">
        <v>27100.9</v>
      </c>
      <c r="R229">
        <v>1858</v>
      </c>
      <c r="S229">
        <v>14.58606027987083</v>
      </c>
      <c r="T229">
        <v>10890</v>
      </c>
      <c r="U229">
        <v>0.1706</v>
      </c>
    </row>
    <row r="230" spans="1:21" x14ac:dyDescent="0.3">
      <c r="A230" t="s">
        <v>951</v>
      </c>
      <c r="B230" t="s">
        <v>952</v>
      </c>
      <c r="C230" t="s">
        <v>20</v>
      </c>
      <c r="D230" t="s">
        <v>953</v>
      </c>
      <c r="E230" t="s">
        <v>22</v>
      </c>
      <c r="F230" t="s">
        <v>62</v>
      </c>
      <c r="G230">
        <v>0</v>
      </c>
      <c r="H230">
        <v>37000</v>
      </c>
      <c r="J230" t="s">
        <v>954</v>
      </c>
      <c r="K230">
        <v>0</v>
      </c>
      <c r="L230">
        <v>1898</v>
      </c>
      <c r="M230">
        <v>128</v>
      </c>
      <c r="N230" t="s">
        <v>2427</v>
      </c>
      <c r="O230" t="s">
        <v>2927</v>
      </c>
      <c r="P230">
        <v>23058.400000000001</v>
      </c>
      <c r="Q230">
        <v>32230.400000000001</v>
      </c>
      <c r="R230">
        <v>3073</v>
      </c>
      <c r="S230">
        <v>10.488252521965507</v>
      </c>
      <c r="T230">
        <v>23634</v>
      </c>
      <c r="U230">
        <v>0.13</v>
      </c>
    </row>
    <row r="231" spans="1:21" x14ac:dyDescent="0.3">
      <c r="A231" t="s">
        <v>955</v>
      </c>
      <c r="B231" t="s">
        <v>956</v>
      </c>
      <c r="C231" t="s">
        <v>41</v>
      </c>
      <c r="D231" t="s">
        <v>957</v>
      </c>
      <c r="E231" t="s">
        <v>22</v>
      </c>
      <c r="F231" t="s">
        <v>43</v>
      </c>
      <c r="G231">
        <v>0</v>
      </c>
      <c r="H231">
        <v>18200</v>
      </c>
      <c r="J231" t="s">
        <v>958</v>
      </c>
      <c r="K231">
        <v>0</v>
      </c>
      <c r="L231">
        <v>1983</v>
      </c>
      <c r="M231">
        <v>43</v>
      </c>
      <c r="N231" t="s">
        <v>2429</v>
      </c>
      <c r="O231" t="s">
        <v>2928</v>
      </c>
      <c r="P231">
        <v>113117.2</v>
      </c>
      <c r="Q231">
        <v>117030.2</v>
      </c>
      <c r="R231">
        <v>6107</v>
      </c>
      <c r="S231">
        <v>19.163288030129358</v>
      </c>
      <c r="T231">
        <v>20121</v>
      </c>
      <c r="U231">
        <v>0.30349999999999999</v>
      </c>
    </row>
    <row r="232" spans="1:21" x14ac:dyDescent="0.3">
      <c r="A232" t="s">
        <v>959</v>
      </c>
      <c r="B232" t="s">
        <v>960</v>
      </c>
      <c r="C232" t="s">
        <v>41</v>
      </c>
      <c r="D232" t="s">
        <v>961</v>
      </c>
      <c r="E232" t="s">
        <v>22</v>
      </c>
      <c r="F232" t="s">
        <v>33</v>
      </c>
      <c r="G232">
        <v>0</v>
      </c>
      <c r="H232">
        <v>17021</v>
      </c>
      <c r="J232" t="s">
        <v>962</v>
      </c>
      <c r="K232">
        <v>0</v>
      </c>
      <c r="L232">
        <v>1995</v>
      </c>
      <c r="M232">
        <v>31</v>
      </c>
      <c r="N232" t="s">
        <v>2431</v>
      </c>
      <c r="O232" t="s">
        <v>2928</v>
      </c>
      <c r="P232">
        <v>178811.6</v>
      </c>
      <c r="Q232">
        <v>173165.3</v>
      </c>
      <c r="R232">
        <v>3558</v>
      </c>
      <c r="S232">
        <v>48.669280494659915</v>
      </c>
      <c r="T232">
        <v>10064.700000000001</v>
      </c>
      <c r="U232">
        <v>0.35349999999999998</v>
      </c>
    </row>
    <row r="233" spans="1:21" x14ac:dyDescent="0.3">
      <c r="A233" t="s">
        <v>963</v>
      </c>
      <c r="B233" t="s">
        <v>964</v>
      </c>
      <c r="C233" t="s">
        <v>20</v>
      </c>
      <c r="D233" t="s">
        <v>965</v>
      </c>
      <c r="E233" t="s">
        <v>22</v>
      </c>
      <c r="F233" t="s">
        <v>53</v>
      </c>
      <c r="G233">
        <v>1</v>
      </c>
      <c r="H233">
        <v>7499</v>
      </c>
      <c r="J233" t="s">
        <v>966</v>
      </c>
      <c r="K233">
        <v>0</v>
      </c>
      <c r="L233">
        <v>1935</v>
      </c>
      <c r="M233">
        <v>91</v>
      </c>
      <c r="N233" t="s">
        <v>2433</v>
      </c>
      <c r="O233" t="s">
        <v>2927</v>
      </c>
      <c r="P233">
        <v>11650.9</v>
      </c>
      <c r="Q233">
        <v>16129.6</v>
      </c>
      <c r="R233">
        <v>1280</v>
      </c>
      <c r="S233">
        <v>12.60125</v>
      </c>
      <c r="T233">
        <v>6377.1</v>
      </c>
      <c r="U233">
        <v>0.20069999999999999</v>
      </c>
    </row>
    <row r="234" spans="1:21" x14ac:dyDescent="0.3">
      <c r="A234" t="s">
        <v>967</v>
      </c>
      <c r="B234" t="s">
        <v>968</v>
      </c>
      <c r="C234" t="s">
        <v>20</v>
      </c>
      <c r="D234" t="s">
        <v>969</v>
      </c>
      <c r="E234" t="s">
        <v>22</v>
      </c>
      <c r="F234" t="s">
        <v>80</v>
      </c>
      <c r="G234">
        <v>0</v>
      </c>
      <c r="H234">
        <v>1725</v>
      </c>
      <c r="J234" t="s">
        <v>970</v>
      </c>
      <c r="K234">
        <v>0</v>
      </c>
      <c r="L234">
        <v>2012</v>
      </c>
      <c r="M234">
        <v>14</v>
      </c>
      <c r="N234" t="s">
        <v>2435</v>
      </c>
      <c r="O234" t="s">
        <v>2927</v>
      </c>
      <c r="P234">
        <v>16051.2</v>
      </c>
      <c r="Q234">
        <v>24376.3</v>
      </c>
      <c r="R234">
        <v>1490.5</v>
      </c>
      <c r="S234">
        <v>16.354444817175445</v>
      </c>
      <c r="T234">
        <v>2717.7</v>
      </c>
      <c r="U234">
        <v>0.5484</v>
      </c>
    </row>
    <row r="235" spans="1:21" x14ac:dyDescent="0.3">
      <c r="A235" t="s">
        <v>971</v>
      </c>
      <c r="B235" t="s">
        <v>972</v>
      </c>
      <c r="C235" t="s">
        <v>20</v>
      </c>
      <c r="D235" t="s">
        <v>973</v>
      </c>
      <c r="E235" t="s">
        <v>22</v>
      </c>
      <c r="F235" t="s">
        <v>33</v>
      </c>
      <c r="G235">
        <v>0</v>
      </c>
      <c r="H235">
        <v>93000</v>
      </c>
      <c r="J235" t="s">
        <v>974</v>
      </c>
      <c r="K235">
        <v>0</v>
      </c>
      <c r="L235">
        <v>2016</v>
      </c>
      <c r="M235">
        <v>10</v>
      </c>
      <c r="N235" t="s">
        <v>2437</v>
      </c>
      <c r="O235" t="s">
        <v>2927</v>
      </c>
      <c r="P235">
        <v>30016.2</v>
      </c>
      <c r="Q235">
        <v>44307.199999999997</v>
      </c>
      <c r="R235">
        <v>2938</v>
      </c>
      <c r="S235">
        <v>15.080735194009529</v>
      </c>
      <c r="T235">
        <v>16310</v>
      </c>
      <c r="U235">
        <v>0.18010000000000001</v>
      </c>
    </row>
    <row r="236" spans="1:21" x14ac:dyDescent="0.3">
      <c r="A236" t="s">
        <v>975</v>
      </c>
      <c r="B236" t="s">
        <v>976</v>
      </c>
      <c r="C236" t="s">
        <v>20</v>
      </c>
      <c r="D236" t="s">
        <v>977</v>
      </c>
      <c r="E236" t="s">
        <v>22</v>
      </c>
      <c r="F236" t="s">
        <v>80</v>
      </c>
      <c r="G236">
        <v>0</v>
      </c>
      <c r="H236">
        <v>29400</v>
      </c>
      <c r="J236" t="s">
        <v>978</v>
      </c>
      <c r="K236">
        <v>0</v>
      </c>
      <c r="L236">
        <v>1951</v>
      </c>
      <c r="M236">
        <v>75</v>
      </c>
      <c r="N236" t="s">
        <v>2439</v>
      </c>
      <c r="O236" t="s">
        <v>2927</v>
      </c>
      <c r="P236">
        <v>32047.8</v>
      </c>
      <c r="Q236">
        <v>51348.800000000003</v>
      </c>
      <c r="R236">
        <v>2328.6</v>
      </c>
      <c r="S236">
        <v>22.051361332989782</v>
      </c>
      <c r="T236">
        <v>6901.7</v>
      </c>
      <c r="U236">
        <v>0.33739999999999998</v>
      </c>
    </row>
    <row r="237" spans="1:21" x14ac:dyDescent="0.3">
      <c r="A237" t="s">
        <v>979</v>
      </c>
      <c r="B237" t="s">
        <v>980</v>
      </c>
      <c r="C237" t="s">
        <v>41</v>
      </c>
      <c r="D237" t="s">
        <v>981</v>
      </c>
      <c r="E237" t="s">
        <v>22</v>
      </c>
      <c r="F237" t="s">
        <v>28</v>
      </c>
      <c r="G237">
        <v>0</v>
      </c>
      <c r="H237">
        <v>31750</v>
      </c>
      <c r="I237" t="s">
        <v>982</v>
      </c>
      <c r="J237" t="s">
        <v>982</v>
      </c>
      <c r="K237">
        <v>1</v>
      </c>
      <c r="L237">
        <v>1961</v>
      </c>
      <c r="M237">
        <v>65</v>
      </c>
      <c r="N237" t="s">
        <v>2441</v>
      </c>
      <c r="O237" t="s">
        <v>2927</v>
      </c>
      <c r="P237">
        <v>22081.5</v>
      </c>
      <c r="Q237">
        <v>23784.799999999999</v>
      </c>
      <c r="R237">
        <v>1579.9</v>
      </c>
      <c r="S237">
        <v>15.054623710361414</v>
      </c>
      <c r="T237">
        <v>11999.1</v>
      </c>
      <c r="U237">
        <v>0.13170000000000001</v>
      </c>
    </row>
    <row r="238" spans="1:21" x14ac:dyDescent="0.3">
      <c r="A238" t="s">
        <v>983</v>
      </c>
      <c r="B238" t="s">
        <v>984</v>
      </c>
      <c r="C238" t="s">
        <v>20</v>
      </c>
      <c r="D238" t="s">
        <v>985</v>
      </c>
      <c r="E238" t="s">
        <v>22</v>
      </c>
      <c r="F238" t="s">
        <v>43</v>
      </c>
      <c r="G238">
        <v>0</v>
      </c>
      <c r="H238">
        <v>135000</v>
      </c>
      <c r="J238" t="s">
        <v>986</v>
      </c>
      <c r="K238">
        <v>0</v>
      </c>
      <c r="L238">
        <v>1966</v>
      </c>
      <c r="M238">
        <v>60</v>
      </c>
      <c r="N238" t="s">
        <v>2443</v>
      </c>
      <c r="O238" t="s">
        <v>2927</v>
      </c>
      <c r="P238">
        <v>27981.7</v>
      </c>
      <c r="Q238">
        <v>29858.7</v>
      </c>
      <c r="R238">
        <v>2289</v>
      </c>
      <c r="S238">
        <v>13.044429882044561</v>
      </c>
      <c r="T238">
        <v>31113</v>
      </c>
      <c r="U238">
        <v>7.3599999999999999E-2</v>
      </c>
    </row>
    <row r="239" spans="1:21" x14ac:dyDescent="0.3">
      <c r="A239" t="s">
        <v>987</v>
      </c>
      <c r="B239" t="s">
        <v>988</v>
      </c>
      <c r="C239" t="s">
        <v>41</v>
      </c>
      <c r="D239" t="s">
        <v>989</v>
      </c>
      <c r="E239" t="s">
        <v>22</v>
      </c>
      <c r="F239" t="s">
        <v>53</v>
      </c>
      <c r="G239">
        <v>1</v>
      </c>
      <c r="H239">
        <v>7200</v>
      </c>
      <c r="J239" t="s">
        <v>990</v>
      </c>
      <c r="K239">
        <v>0</v>
      </c>
      <c r="L239">
        <v>1976</v>
      </c>
      <c r="M239">
        <v>50</v>
      </c>
      <c r="N239" t="s">
        <v>2445</v>
      </c>
      <c r="O239" t="s">
        <v>2927</v>
      </c>
      <c r="P239">
        <v>11724.3</v>
      </c>
      <c r="Q239">
        <v>11764.6</v>
      </c>
      <c r="R239">
        <v>696.5</v>
      </c>
      <c r="S239">
        <v>16.891026561378322</v>
      </c>
      <c r="T239">
        <v>2464.5</v>
      </c>
      <c r="U239">
        <v>0.28260000000000002</v>
      </c>
    </row>
    <row r="240" spans="1:21" x14ac:dyDescent="0.3">
      <c r="A240" t="s">
        <v>991</v>
      </c>
      <c r="B240" t="s">
        <v>992</v>
      </c>
      <c r="C240" t="s">
        <v>20</v>
      </c>
      <c r="D240" t="s">
        <v>993</v>
      </c>
      <c r="E240" t="s">
        <v>22</v>
      </c>
      <c r="F240" t="s">
        <v>28</v>
      </c>
      <c r="G240">
        <v>0</v>
      </c>
      <c r="H240">
        <v>43000</v>
      </c>
      <c r="J240" t="s">
        <v>994</v>
      </c>
      <c r="K240">
        <v>0</v>
      </c>
      <c r="L240">
        <v>1947</v>
      </c>
      <c r="M240">
        <v>79</v>
      </c>
      <c r="N240" t="s">
        <v>2447</v>
      </c>
      <c r="O240" t="s">
        <v>2927</v>
      </c>
      <c r="P240">
        <v>16191.2</v>
      </c>
      <c r="Q240">
        <v>18695.2</v>
      </c>
      <c r="R240">
        <v>1279</v>
      </c>
      <c r="S240">
        <v>14.617044566067241</v>
      </c>
      <c r="T240">
        <v>12390.1</v>
      </c>
      <c r="U240">
        <v>0.1032</v>
      </c>
    </row>
    <row r="241" spans="1:21" x14ac:dyDescent="0.3">
      <c r="A241" t="s">
        <v>995</v>
      </c>
      <c r="B241" t="s">
        <v>996</v>
      </c>
      <c r="C241" t="s">
        <v>20</v>
      </c>
      <c r="D241" t="s">
        <v>997</v>
      </c>
      <c r="E241" t="s">
        <v>22</v>
      </c>
      <c r="F241" t="s">
        <v>33</v>
      </c>
      <c r="G241">
        <v>0</v>
      </c>
      <c r="H241">
        <v>138200</v>
      </c>
      <c r="J241" t="s">
        <v>998</v>
      </c>
      <c r="K241">
        <v>0</v>
      </c>
      <c r="L241">
        <v>1886</v>
      </c>
      <c r="M241">
        <v>140</v>
      </c>
      <c r="N241" t="s">
        <v>2449</v>
      </c>
      <c r="O241" t="s">
        <v>2927</v>
      </c>
      <c r="P241">
        <v>598691.19999999995</v>
      </c>
      <c r="Q241">
        <v>627922.19999999995</v>
      </c>
      <c r="R241">
        <v>33836</v>
      </c>
      <c r="S241">
        <v>18.557814162430546</v>
      </c>
      <c r="T241">
        <v>94193</v>
      </c>
      <c r="U241">
        <v>0.35920000000000002</v>
      </c>
    </row>
    <row r="242" spans="1:21" x14ac:dyDescent="0.3">
      <c r="A242" t="s">
        <v>999</v>
      </c>
      <c r="B242" t="s">
        <v>1000</v>
      </c>
      <c r="C242" t="s">
        <v>20</v>
      </c>
      <c r="D242" t="s">
        <v>1001</v>
      </c>
      <c r="E242" t="s">
        <v>22</v>
      </c>
      <c r="F242" t="s">
        <v>53</v>
      </c>
      <c r="G242">
        <v>1</v>
      </c>
      <c r="H242">
        <v>318512</v>
      </c>
      <c r="J242" t="s">
        <v>1002</v>
      </c>
      <c r="K242">
        <v>0</v>
      </c>
      <c r="L242">
        <v>1799</v>
      </c>
      <c r="M242">
        <v>227</v>
      </c>
      <c r="N242" t="s">
        <v>2451</v>
      </c>
      <c r="O242" t="s">
        <v>2927</v>
      </c>
      <c r="P242">
        <v>809918.8</v>
      </c>
      <c r="Q242" t="s">
        <v>91</v>
      </c>
      <c r="R242">
        <v>0</v>
      </c>
      <c r="S242" t="e">
        <v>#VALUE!</v>
      </c>
      <c r="T242">
        <v>168235</v>
      </c>
      <c r="U242">
        <v>0</v>
      </c>
    </row>
    <row r="243" spans="1:21" x14ac:dyDescent="0.3">
      <c r="A243" t="s">
        <v>1003</v>
      </c>
      <c r="B243" t="s">
        <v>1004</v>
      </c>
      <c r="C243" t="s">
        <v>20</v>
      </c>
      <c r="D243" t="s">
        <v>1005</v>
      </c>
      <c r="E243" t="s">
        <v>22</v>
      </c>
      <c r="F243" t="s">
        <v>100</v>
      </c>
      <c r="G243">
        <v>0</v>
      </c>
      <c r="H243">
        <v>21890</v>
      </c>
      <c r="J243" t="s">
        <v>1006</v>
      </c>
      <c r="K243">
        <v>0</v>
      </c>
      <c r="L243">
        <v>2022</v>
      </c>
      <c r="M243">
        <v>4</v>
      </c>
      <c r="N243" t="s">
        <v>2453</v>
      </c>
      <c r="O243" t="s">
        <v>2927</v>
      </c>
      <c r="P243">
        <v>36647.9</v>
      </c>
      <c r="Q243">
        <v>44259.9</v>
      </c>
      <c r="R243">
        <v>3243</v>
      </c>
      <c r="S243">
        <v>13.647826086956522</v>
      </c>
      <c r="T243">
        <v>15124</v>
      </c>
      <c r="U243">
        <v>0.21440000000000001</v>
      </c>
    </row>
    <row r="244" spans="1:21" x14ac:dyDescent="0.3">
      <c r="A244" t="s">
        <v>1007</v>
      </c>
      <c r="B244" t="s">
        <v>1008</v>
      </c>
      <c r="C244" t="s">
        <v>41</v>
      </c>
      <c r="D244" t="s">
        <v>1009</v>
      </c>
      <c r="E244" t="s">
        <v>22</v>
      </c>
      <c r="F244" t="s">
        <v>100</v>
      </c>
      <c r="G244">
        <v>0</v>
      </c>
      <c r="H244">
        <v>30600</v>
      </c>
      <c r="J244" t="s">
        <v>1010</v>
      </c>
      <c r="K244">
        <v>0</v>
      </c>
      <c r="L244">
        <v>1981</v>
      </c>
      <c r="M244">
        <v>45</v>
      </c>
      <c r="N244" t="s">
        <v>2455</v>
      </c>
      <c r="O244" t="s">
        <v>2927</v>
      </c>
      <c r="P244">
        <v>41140.400000000001</v>
      </c>
      <c r="Q244">
        <v>59349.4</v>
      </c>
      <c r="R244">
        <v>4465</v>
      </c>
      <c r="S244">
        <v>13.292138857782755</v>
      </c>
      <c r="T244">
        <v>16603</v>
      </c>
      <c r="U244">
        <v>0.26889999999999997</v>
      </c>
    </row>
    <row r="245" spans="1:21" x14ac:dyDescent="0.3">
      <c r="A245" t="s">
        <v>1011</v>
      </c>
      <c r="B245" t="s">
        <v>1012</v>
      </c>
      <c r="C245" t="s">
        <v>20</v>
      </c>
      <c r="D245" t="s">
        <v>1013</v>
      </c>
      <c r="E245" t="s">
        <v>22</v>
      </c>
      <c r="F245" t="s">
        <v>53</v>
      </c>
      <c r="G245">
        <v>1</v>
      </c>
      <c r="H245">
        <v>17883</v>
      </c>
      <c r="J245" t="s">
        <v>1014</v>
      </c>
      <c r="K245">
        <v>0</v>
      </c>
      <c r="L245">
        <v>1849</v>
      </c>
      <c r="M245">
        <v>177</v>
      </c>
      <c r="N245" t="s">
        <v>2457</v>
      </c>
      <c r="O245" t="s">
        <v>2927</v>
      </c>
      <c r="P245">
        <v>22599.3</v>
      </c>
      <c r="Q245" t="s">
        <v>91</v>
      </c>
      <c r="R245">
        <v>0</v>
      </c>
      <c r="S245" t="e">
        <v>#VALUE!</v>
      </c>
      <c r="T245">
        <v>7007</v>
      </c>
      <c r="U245">
        <v>0</v>
      </c>
    </row>
    <row r="246" spans="1:21" x14ac:dyDescent="0.3">
      <c r="A246" t="s">
        <v>1015</v>
      </c>
      <c r="B246" t="s">
        <v>1016</v>
      </c>
      <c r="C246" t="s">
        <v>20</v>
      </c>
      <c r="D246" t="s">
        <v>1017</v>
      </c>
      <c r="E246" t="s">
        <v>22</v>
      </c>
      <c r="F246" t="s">
        <v>43</v>
      </c>
      <c r="G246">
        <v>0</v>
      </c>
      <c r="H246">
        <v>16800</v>
      </c>
      <c r="J246" t="s">
        <v>1018</v>
      </c>
      <c r="K246">
        <v>0</v>
      </c>
      <c r="L246">
        <v>1939</v>
      </c>
      <c r="M246">
        <v>87</v>
      </c>
      <c r="N246" t="s">
        <v>2459</v>
      </c>
      <c r="O246" t="s">
        <v>2928</v>
      </c>
      <c r="P246">
        <v>52799.3</v>
      </c>
      <c r="Q246">
        <v>53393.3</v>
      </c>
      <c r="R246">
        <v>1283</v>
      </c>
      <c r="S246">
        <v>41.615978176149653</v>
      </c>
      <c r="T246">
        <v>5677</v>
      </c>
      <c r="U246">
        <v>0.22600000000000001</v>
      </c>
    </row>
    <row r="247" spans="1:21" x14ac:dyDescent="0.3">
      <c r="A247" t="s">
        <v>1019</v>
      </c>
      <c r="B247" t="s">
        <v>1020</v>
      </c>
      <c r="C247" t="s">
        <v>41</v>
      </c>
      <c r="D247" t="s">
        <v>1021</v>
      </c>
      <c r="E247" t="s">
        <v>22</v>
      </c>
      <c r="F247" t="s">
        <v>100</v>
      </c>
      <c r="G247">
        <v>0</v>
      </c>
      <c r="H247">
        <v>36000</v>
      </c>
      <c r="J247" t="s">
        <v>1022</v>
      </c>
      <c r="K247">
        <v>0</v>
      </c>
      <c r="L247">
        <v>1872</v>
      </c>
      <c r="M247">
        <v>154</v>
      </c>
      <c r="N247" t="s">
        <v>2461</v>
      </c>
      <c r="O247" t="s">
        <v>2927</v>
      </c>
      <c r="P247">
        <v>36989.4</v>
      </c>
      <c r="Q247">
        <v>43919.4</v>
      </c>
      <c r="R247">
        <v>3199</v>
      </c>
      <c r="S247">
        <v>13.72910284463895</v>
      </c>
      <c r="T247">
        <v>16447</v>
      </c>
      <c r="U247">
        <v>0.19450000000000001</v>
      </c>
    </row>
    <row r="248" spans="1:21" x14ac:dyDescent="0.3">
      <c r="A248" t="s">
        <v>1023</v>
      </c>
      <c r="B248" t="s">
        <v>1024</v>
      </c>
      <c r="C248" t="s">
        <v>20</v>
      </c>
      <c r="D248" t="s">
        <v>1025</v>
      </c>
      <c r="E248" t="s">
        <v>22</v>
      </c>
      <c r="F248" t="s">
        <v>80</v>
      </c>
      <c r="G248">
        <v>0</v>
      </c>
      <c r="H248">
        <v>710</v>
      </c>
      <c r="J248" t="s">
        <v>1026</v>
      </c>
      <c r="K248">
        <v>0</v>
      </c>
      <c r="L248">
        <v>1958</v>
      </c>
      <c r="M248">
        <v>68</v>
      </c>
      <c r="N248" t="s">
        <v>2463</v>
      </c>
      <c r="O248" t="s">
        <v>2927</v>
      </c>
      <c r="P248">
        <v>15874.3</v>
      </c>
      <c r="Q248">
        <v>24153.3</v>
      </c>
      <c r="R248">
        <v>1310</v>
      </c>
      <c r="S248">
        <v>18.437633587786259</v>
      </c>
      <c r="T248">
        <v>2140.1</v>
      </c>
      <c r="U248">
        <v>0.61209999999999998</v>
      </c>
    </row>
    <row r="249" spans="1:21" x14ac:dyDescent="0.3">
      <c r="A249" t="s">
        <v>1027</v>
      </c>
      <c r="B249" t="s">
        <v>1028</v>
      </c>
      <c r="C249" t="s">
        <v>20</v>
      </c>
      <c r="D249" t="s">
        <v>1029</v>
      </c>
      <c r="E249" t="s">
        <v>22</v>
      </c>
      <c r="F249" t="s">
        <v>153</v>
      </c>
      <c r="G249">
        <v>0</v>
      </c>
      <c r="H249">
        <v>11028</v>
      </c>
      <c r="I249" t="s">
        <v>1030</v>
      </c>
      <c r="J249" t="s">
        <v>1031</v>
      </c>
      <c r="K249">
        <v>1</v>
      </c>
      <c r="L249">
        <v>1997</v>
      </c>
      <c r="M249">
        <v>29</v>
      </c>
      <c r="N249" t="s">
        <v>2465</v>
      </c>
      <c r="O249" t="s">
        <v>2927</v>
      </c>
      <c r="P249">
        <v>74019.3</v>
      </c>
      <c r="Q249">
        <v>107594.3</v>
      </c>
      <c r="R249">
        <v>7115</v>
      </c>
      <c r="S249">
        <v>15.122178496134927</v>
      </c>
      <c r="T249">
        <v>16937</v>
      </c>
      <c r="U249">
        <v>0.42009999999999997</v>
      </c>
    </row>
    <row r="250" spans="1:21" x14ac:dyDescent="0.3">
      <c r="A250" t="s">
        <v>1032</v>
      </c>
      <c r="B250" t="s">
        <v>1033</v>
      </c>
      <c r="C250" t="s">
        <v>20</v>
      </c>
      <c r="D250" t="s">
        <v>1034</v>
      </c>
      <c r="E250" t="s">
        <v>22</v>
      </c>
      <c r="F250" t="s">
        <v>53</v>
      </c>
      <c r="G250">
        <v>1</v>
      </c>
      <c r="H250">
        <v>4834</v>
      </c>
      <c r="J250" t="s">
        <v>1035</v>
      </c>
      <c r="K250">
        <v>0</v>
      </c>
      <c r="L250">
        <v>1976</v>
      </c>
      <c r="M250">
        <v>50</v>
      </c>
      <c r="N250" t="s">
        <v>2467</v>
      </c>
      <c r="O250" t="s">
        <v>2927</v>
      </c>
      <c r="P250">
        <v>78171.199999999997</v>
      </c>
      <c r="Q250" t="s">
        <v>91</v>
      </c>
      <c r="R250">
        <v>0</v>
      </c>
      <c r="S250" t="e">
        <v>#VALUE!</v>
      </c>
      <c r="T250">
        <v>25651.1</v>
      </c>
      <c r="U250">
        <v>0</v>
      </c>
    </row>
    <row r="251" spans="1:21" x14ac:dyDescent="0.3">
      <c r="A251" t="s">
        <v>1036</v>
      </c>
      <c r="B251" t="s">
        <v>1037</v>
      </c>
      <c r="C251" t="s">
        <v>41</v>
      </c>
      <c r="D251" t="s">
        <v>1038</v>
      </c>
      <c r="E251" t="s">
        <v>22</v>
      </c>
      <c r="F251" t="s">
        <v>43</v>
      </c>
      <c r="G251">
        <v>0</v>
      </c>
      <c r="H251">
        <v>15100</v>
      </c>
      <c r="J251" t="s">
        <v>1039</v>
      </c>
      <c r="K251">
        <v>0</v>
      </c>
      <c r="L251">
        <v>1975</v>
      </c>
      <c r="M251">
        <v>51</v>
      </c>
      <c r="N251" t="s">
        <v>2469</v>
      </c>
      <c r="O251" t="s">
        <v>2928</v>
      </c>
      <c r="P251">
        <v>199832.8</v>
      </c>
      <c r="Q251">
        <v>200734.9</v>
      </c>
      <c r="R251">
        <v>5742.1</v>
      </c>
      <c r="S251">
        <v>34.95844725797182</v>
      </c>
      <c r="T251">
        <v>12744.6</v>
      </c>
      <c r="U251">
        <v>0.4506</v>
      </c>
    </row>
    <row r="252" spans="1:21" x14ac:dyDescent="0.3">
      <c r="A252" t="s">
        <v>1040</v>
      </c>
      <c r="B252" t="s">
        <v>1041</v>
      </c>
      <c r="C252" t="s">
        <v>20</v>
      </c>
      <c r="D252" t="s">
        <v>1042</v>
      </c>
      <c r="E252" t="s">
        <v>22</v>
      </c>
      <c r="F252" t="s">
        <v>28</v>
      </c>
      <c r="G252">
        <v>0</v>
      </c>
      <c r="H252">
        <v>45000</v>
      </c>
      <c r="J252" t="s">
        <v>1043</v>
      </c>
      <c r="K252">
        <v>0</v>
      </c>
      <c r="L252">
        <v>1895</v>
      </c>
      <c r="M252">
        <v>131</v>
      </c>
      <c r="N252" t="s">
        <v>2471</v>
      </c>
      <c r="O252" t="s">
        <v>2927</v>
      </c>
      <c r="P252">
        <v>68087.399999999994</v>
      </c>
      <c r="Q252">
        <v>78919.399999999994</v>
      </c>
      <c r="R252">
        <v>4043</v>
      </c>
      <c r="S252">
        <v>19.520009893643333</v>
      </c>
      <c r="T252">
        <v>21865</v>
      </c>
      <c r="U252">
        <v>0.18490000000000001</v>
      </c>
    </row>
    <row r="253" spans="1:21" x14ac:dyDescent="0.3">
      <c r="A253" t="s">
        <v>1044</v>
      </c>
      <c r="B253" t="s">
        <v>1045</v>
      </c>
      <c r="C253" t="s">
        <v>20</v>
      </c>
      <c r="D253" t="s">
        <v>1046</v>
      </c>
      <c r="E253" t="s">
        <v>22</v>
      </c>
      <c r="F253" t="s">
        <v>33</v>
      </c>
      <c r="G253">
        <v>0</v>
      </c>
      <c r="H253">
        <v>66385</v>
      </c>
      <c r="J253" t="s">
        <v>1047</v>
      </c>
      <c r="K253">
        <v>0</v>
      </c>
      <c r="L253">
        <v>1995</v>
      </c>
      <c r="M253">
        <v>31</v>
      </c>
      <c r="N253" t="s">
        <v>2473</v>
      </c>
      <c r="O253" t="s">
        <v>2927</v>
      </c>
      <c r="P253">
        <v>23823.5</v>
      </c>
      <c r="Q253">
        <v>29834.1</v>
      </c>
      <c r="R253">
        <v>2191.6999999999998</v>
      </c>
      <c r="S253">
        <v>13.612310078934161</v>
      </c>
      <c r="T253">
        <v>13951.7</v>
      </c>
      <c r="U253">
        <v>0.15709999999999999</v>
      </c>
    </row>
    <row r="254" spans="1:21" x14ac:dyDescent="0.3">
      <c r="A254" t="s">
        <v>1048</v>
      </c>
      <c r="B254" t="s">
        <v>1049</v>
      </c>
      <c r="C254" t="s">
        <v>41</v>
      </c>
      <c r="D254" t="s">
        <v>1050</v>
      </c>
      <c r="E254" t="s">
        <v>22</v>
      </c>
      <c r="F254" t="s">
        <v>43</v>
      </c>
      <c r="G254">
        <v>0</v>
      </c>
      <c r="H254">
        <v>19700</v>
      </c>
      <c r="J254" t="s">
        <v>1051</v>
      </c>
      <c r="K254">
        <v>0</v>
      </c>
      <c r="L254">
        <v>1980</v>
      </c>
      <c r="M254">
        <v>46</v>
      </c>
      <c r="N254" t="s">
        <v>2475</v>
      </c>
      <c r="O254" t="s">
        <v>2928</v>
      </c>
      <c r="P254">
        <v>292075</v>
      </c>
      <c r="Q254">
        <v>290378.40000000002</v>
      </c>
      <c r="R254">
        <v>7343.5</v>
      </c>
      <c r="S254">
        <v>39.54223462926398</v>
      </c>
      <c r="T254">
        <v>20560.5</v>
      </c>
      <c r="U254">
        <v>0.35720000000000002</v>
      </c>
    </row>
    <row r="255" spans="1:21" x14ac:dyDescent="0.3">
      <c r="A255" t="s">
        <v>1052</v>
      </c>
      <c r="B255" t="s">
        <v>1053</v>
      </c>
      <c r="C255" t="s">
        <v>20</v>
      </c>
      <c r="D255" t="s">
        <v>1054</v>
      </c>
      <c r="E255" t="s">
        <v>22</v>
      </c>
      <c r="F255" t="s">
        <v>100</v>
      </c>
      <c r="G255">
        <v>0</v>
      </c>
      <c r="H255">
        <v>10100</v>
      </c>
      <c r="J255" t="s">
        <v>1055</v>
      </c>
      <c r="K255">
        <v>0</v>
      </c>
      <c r="L255">
        <v>1950</v>
      </c>
      <c r="M255">
        <v>76</v>
      </c>
      <c r="N255" t="s">
        <v>2929</v>
      </c>
      <c r="O255" t="s">
        <v>2927</v>
      </c>
      <c r="P255">
        <v>6692.6</v>
      </c>
      <c r="Q255">
        <v>10554.6</v>
      </c>
      <c r="R255">
        <v>1231</v>
      </c>
      <c r="S255">
        <v>8.5740048740861088</v>
      </c>
      <c r="T255">
        <v>6473.6</v>
      </c>
      <c r="U255">
        <v>0.19020000000000001</v>
      </c>
    </row>
    <row r="256" spans="1:21" x14ac:dyDescent="0.3">
      <c r="A256" t="s">
        <v>1056</v>
      </c>
      <c r="B256" t="s">
        <v>1057</v>
      </c>
      <c r="C256" t="s">
        <v>20</v>
      </c>
      <c r="D256" t="s">
        <v>1058</v>
      </c>
      <c r="E256" t="s">
        <v>22</v>
      </c>
      <c r="F256" t="s">
        <v>67</v>
      </c>
      <c r="G256">
        <v>0</v>
      </c>
      <c r="H256">
        <v>41250</v>
      </c>
      <c r="J256" t="s">
        <v>1059</v>
      </c>
      <c r="K256">
        <v>0</v>
      </c>
      <c r="L256">
        <v>1988</v>
      </c>
      <c r="M256">
        <v>38</v>
      </c>
      <c r="N256" t="s">
        <v>2477</v>
      </c>
      <c r="O256" t="s">
        <v>2927</v>
      </c>
      <c r="P256">
        <v>38108.9</v>
      </c>
      <c r="Q256">
        <v>50645.9</v>
      </c>
      <c r="R256">
        <v>4533</v>
      </c>
      <c r="S256">
        <v>11.172711228766822</v>
      </c>
      <c r="T256">
        <v>13017</v>
      </c>
      <c r="U256">
        <v>0.34820000000000001</v>
      </c>
    </row>
    <row r="257" spans="1:21" x14ac:dyDescent="0.3">
      <c r="A257" t="s">
        <v>1060</v>
      </c>
      <c r="B257" t="s">
        <v>1061</v>
      </c>
      <c r="C257" t="s">
        <v>20</v>
      </c>
      <c r="D257" t="s">
        <v>1062</v>
      </c>
      <c r="E257" t="s">
        <v>22</v>
      </c>
      <c r="F257" t="s">
        <v>28</v>
      </c>
      <c r="G257">
        <v>0</v>
      </c>
      <c r="H257">
        <v>47000</v>
      </c>
      <c r="J257" t="s">
        <v>1063</v>
      </c>
      <c r="K257">
        <v>0</v>
      </c>
      <c r="L257">
        <v>1969</v>
      </c>
      <c r="M257">
        <v>57</v>
      </c>
      <c r="N257" t="s">
        <v>2479</v>
      </c>
      <c r="O257" t="s">
        <v>2927</v>
      </c>
      <c r="P257">
        <v>22131.4</v>
      </c>
      <c r="Q257">
        <v>26411.4</v>
      </c>
      <c r="R257">
        <v>2390</v>
      </c>
      <c r="S257">
        <v>11.050794979079498</v>
      </c>
      <c r="T257">
        <v>17174</v>
      </c>
      <c r="U257">
        <v>0.13919999999999999</v>
      </c>
    </row>
    <row r="258" spans="1:21" x14ac:dyDescent="0.3">
      <c r="A258" t="s">
        <v>1064</v>
      </c>
      <c r="B258" t="s">
        <v>1065</v>
      </c>
      <c r="C258" t="s">
        <v>20</v>
      </c>
      <c r="D258" t="s">
        <v>1066</v>
      </c>
      <c r="E258" t="s">
        <v>22</v>
      </c>
      <c r="F258" t="s">
        <v>67</v>
      </c>
      <c r="G258">
        <v>0</v>
      </c>
      <c r="H258">
        <v>12532</v>
      </c>
      <c r="J258" t="s">
        <v>1067</v>
      </c>
      <c r="K258">
        <v>0</v>
      </c>
      <c r="L258">
        <v>1954</v>
      </c>
      <c r="M258">
        <v>72</v>
      </c>
      <c r="N258" t="s">
        <v>2481</v>
      </c>
      <c r="O258" t="s">
        <v>2927</v>
      </c>
      <c r="P258">
        <v>28080.6</v>
      </c>
      <c r="Q258">
        <v>24519.8</v>
      </c>
      <c r="R258">
        <v>2992.3</v>
      </c>
      <c r="S258">
        <v>8.1942986999966578</v>
      </c>
      <c r="T258">
        <v>34186.9</v>
      </c>
      <c r="U258">
        <v>8.7499999999999994E-2</v>
      </c>
    </row>
    <row r="259" spans="1:21" x14ac:dyDescent="0.3">
      <c r="A259" t="s">
        <v>1068</v>
      </c>
      <c r="B259" t="s">
        <v>1069</v>
      </c>
      <c r="C259" t="s">
        <v>20</v>
      </c>
      <c r="D259" t="s">
        <v>1070</v>
      </c>
      <c r="E259" t="s">
        <v>22</v>
      </c>
      <c r="F259" t="s">
        <v>28</v>
      </c>
      <c r="G259">
        <v>0</v>
      </c>
      <c r="H259">
        <v>5400</v>
      </c>
      <c r="J259" t="s">
        <v>1071</v>
      </c>
      <c r="K259">
        <v>0</v>
      </c>
      <c r="L259">
        <v>1895</v>
      </c>
      <c r="M259">
        <v>131</v>
      </c>
      <c r="N259" t="s">
        <v>2483</v>
      </c>
      <c r="O259" t="s">
        <v>2927</v>
      </c>
      <c r="P259">
        <v>19835.599999999999</v>
      </c>
      <c r="Q259">
        <v>21571.599999999999</v>
      </c>
      <c r="R259">
        <v>1154.8</v>
      </c>
      <c r="S259">
        <v>18.679944579147904</v>
      </c>
      <c r="T259">
        <v>5195.3</v>
      </c>
      <c r="U259">
        <v>0.2223</v>
      </c>
    </row>
    <row r="260" spans="1:21" x14ac:dyDescent="0.3">
      <c r="A260" t="s">
        <v>1072</v>
      </c>
      <c r="B260" t="s">
        <v>1073</v>
      </c>
      <c r="C260" t="s">
        <v>20</v>
      </c>
      <c r="D260" t="s">
        <v>1074</v>
      </c>
      <c r="E260" t="s">
        <v>22</v>
      </c>
      <c r="F260" t="s">
        <v>95</v>
      </c>
      <c r="G260">
        <v>0</v>
      </c>
      <c r="H260">
        <v>17700</v>
      </c>
      <c r="J260" t="s">
        <v>1075</v>
      </c>
      <c r="K260">
        <v>0</v>
      </c>
      <c r="L260">
        <v>2005</v>
      </c>
      <c r="M260">
        <v>21</v>
      </c>
      <c r="N260" t="s">
        <v>2485</v>
      </c>
      <c r="O260" t="s">
        <v>2928</v>
      </c>
      <c r="P260">
        <v>37676.199999999997</v>
      </c>
      <c r="Q260">
        <v>42534.2</v>
      </c>
      <c r="R260">
        <v>1963</v>
      </c>
      <c r="S260">
        <v>21.667957208354558</v>
      </c>
      <c r="T260">
        <v>25201.4</v>
      </c>
      <c r="U260">
        <v>7.7899999999999997E-2</v>
      </c>
    </row>
    <row r="261" spans="1:21" x14ac:dyDescent="0.3">
      <c r="A261" t="s">
        <v>1076</v>
      </c>
      <c r="B261" t="s">
        <v>1077</v>
      </c>
      <c r="C261" t="s">
        <v>20</v>
      </c>
      <c r="D261" t="s">
        <v>1078</v>
      </c>
      <c r="E261" t="s">
        <v>22</v>
      </c>
      <c r="F261" t="s">
        <v>28</v>
      </c>
      <c r="G261">
        <v>0</v>
      </c>
      <c r="H261">
        <v>123000</v>
      </c>
      <c r="J261" t="s">
        <v>1079</v>
      </c>
      <c r="K261">
        <v>0</v>
      </c>
      <c r="L261">
        <v>1912</v>
      </c>
      <c r="M261">
        <v>114</v>
      </c>
      <c r="N261" t="s">
        <v>2487</v>
      </c>
      <c r="O261" t="s">
        <v>2927</v>
      </c>
      <c r="P261">
        <v>151411.20000000001</v>
      </c>
      <c r="Q261">
        <v>170061.2</v>
      </c>
      <c r="R261">
        <v>8285</v>
      </c>
      <c r="S261">
        <v>20.526397103198551</v>
      </c>
      <c r="T261">
        <v>75048</v>
      </c>
      <c r="U261">
        <v>0.1104</v>
      </c>
    </row>
    <row r="262" spans="1:21" x14ac:dyDescent="0.3">
      <c r="A262" t="s">
        <v>1080</v>
      </c>
      <c r="B262" t="s">
        <v>1081</v>
      </c>
      <c r="C262" t="s">
        <v>20</v>
      </c>
      <c r="D262" t="s">
        <v>1082</v>
      </c>
      <c r="E262" t="s">
        <v>22</v>
      </c>
      <c r="F262" t="s">
        <v>53</v>
      </c>
      <c r="G262">
        <v>1</v>
      </c>
      <c r="H262">
        <v>13100</v>
      </c>
      <c r="J262" t="s">
        <v>1083</v>
      </c>
      <c r="K262">
        <v>0</v>
      </c>
      <c r="L262">
        <v>1969</v>
      </c>
      <c r="M262">
        <v>57</v>
      </c>
      <c r="N262" t="s">
        <v>2489</v>
      </c>
      <c r="O262" t="s">
        <v>2927</v>
      </c>
      <c r="P262">
        <v>22669.9</v>
      </c>
      <c r="Q262">
        <v>32993.9</v>
      </c>
      <c r="R262">
        <v>3256</v>
      </c>
      <c r="S262">
        <v>10.133261670761671</v>
      </c>
      <c r="T262">
        <v>18454</v>
      </c>
      <c r="U262">
        <v>0.1764</v>
      </c>
    </row>
    <row r="263" spans="1:21" x14ac:dyDescent="0.3">
      <c r="A263" t="s">
        <v>1084</v>
      </c>
      <c r="B263" t="s">
        <v>1085</v>
      </c>
      <c r="C263" t="s">
        <v>20</v>
      </c>
      <c r="D263" t="s">
        <v>1086</v>
      </c>
      <c r="E263" t="s">
        <v>22</v>
      </c>
      <c r="F263" t="s">
        <v>67</v>
      </c>
      <c r="G263">
        <v>0</v>
      </c>
      <c r="H263">
        <v>300000</v>
      </c>
      <c r="J263" t="s">
        <v>1087</v>
      </c>
      <c r="K263">
        <v>0</v>
      </c>
      <c r="L263">
        <v>1921</v>
      </c>
      <c r="M263">
        <v>105</v>
      </c>
      <c r="N263" t="s">
        <v>2491</v>
      </c>
      <c r="O263" t="s">
        <v>2927</v>
      </c>
      <c r="P263">
        <v>148410.9</v>
      </c>
      <c r="Q263">
        <v>191735.9</v>
      </c>
      <c r="R263">
        <v>12347</v>
      </c>
      <c r="S263">
        <v>15.528946302745606</v>
      </c>
      <c r="T263">
        <v>86286</v>
      </c>
      <c r="U263">
        <v>0.1431</v>
      </c>
    </row>
    <row r="264" spans="1:21" x14ac:dyDescent="0.3">
      <c r="A264" t="s">
        <v>1088</v>
      </c>
      <c r="B264" t="s">
        <v>1089</v>
      </c>
      <c r="C264" t="s">
        <v>20</v>
      </c>
      <c r="D264" t="s">
        <v>1090</v>
      </c>
      <c r="E264" t="s">
        <v>22</v>
      </c>
      <c r="F264" t="s">
        <v>53</v>
      </c>
      <c r="G264">
        <v>1</v>
      </c>
      <c r="H264">
        <v>22059</v>
      </c>
      <c r="J264" t="s">
        <v>1091</v>
      </c>
      <c r="K264">
        <v>0</v>
      </c>
      <c r="L264">
        <v>1856</v>
      </c>
      <c r="M264">
        <v>170</v>
      </c>
      <c r="N264" t="s">
        <v>2496</v>
      </c>
      <c r="O264" t="s">
        <v>2927</v>
      </c>
      <c r="P264">
        <v>32330.1</v>
      </c>
      <c r="Q264" t="s">
        <v>91</v>
      </c>
      <c r="R264">
        <v>0</v>
      </c>
      <c r="S264" t="e">
        <v>#VALUE!</v>
      </c>
      <c r="T264">
        <v>9185</v>
      </c>
      <c r="U264">
        <v>0</v>
      </c>
    </row>
    <row r="265" spans="1:21" x14ac:dyDescent="0.3">
      <c r="A265" t="s">
        <v>1092</v>
      </c>
      <c r="B265" t="s">
        <v>1093</v>
      </c>
      <c r="C265" t="s">
        <v>20</v>
      </c>
      <c r="D265" t="s">
        <v>1094</v>
      </c>
      <c r="E265" t="s">
        <v>22</v>
      </c>
      <c r="F265" t="s">
        <v>153</v>
      </c>
      <c r="G265">
        <v>0</v>
      </c>
      <c r="H265">
        <v>18500</v>
      </c>
      <c r="I265" t="s">
        <v>1095</v>
      </c>
      <c r="J265" t="s">
        <v>1095</v>
      </c>
      <c r="K265">
        <v>1</v>
      </c>
      <c r="L265">
        <v>1887</v>
      </c>
      <c r="M265">
        <v>139</v>
      </c>
      <c r="N265" t="s">
        <v>2498</v>
      </c>
      <c r="O265" t="s">
        <v>2927</v>
      </c>
      <c r="P265">
        <v>58420.4</v>
      </c>
      <c r="Q265">
        <v>95878.399999999994</v>
      </c>
      <c r="R265">
        <v>9724</v>
      </c>
      <c r="S265">
        <v>9.8599753187988473</v>
      </c>
      <c r="T265">
        <v>133427</v>
      </c>
      <c r="U265">
        <v>7.2900000000000006E-2</v>
      </c>
    </row>
    <row r="266" spans="1:21" x14ac:dyDescent="0.3">
      <c r="A266" t="s">
        <v>1096</v>
      </c>
      <c r="B266" t="s">
        <v>1097</v>
      </c>
      <c r="C266" t="s">
        <v>41</v>
      </c>
      <c r="D266" t="s">
        <v>1098</v>
      </c>
      <c r="E266" t="s">
        <v>22</v>
      </c>
      <c r="F266" t="s">
        <v>67</v>
      </c>
      <c r="G266">
        <v>0</v>
      </c>
      <c r="H266">
        <v>414000</v>
      </c>
      <c r="J266" t="s">
        <v>1099</v>
      </c>
      <c r="K266">
        <v>0</v>
      </c>
      <c r="L266">
        <v>1927</v>
      </c>
      <c r="M266">
        <v>99</v>
      </c>
      <c r="N266" t="s">
        <v>2500</v>
      </c>
      <c r="O266" t="s">
        <v>2927</v>
      </c>
      <c r="P266">
        <v>90553.2</v>
      </c>
      <c r="Q266">
        <v>107377.2</v>
      </c>
      <c r="R266">
        <v>4597</v>
      </c>
      <c r="S266">
        <v>23.358103110724386</v>
      </c>
      <c r="T266">
        <v>26321</v>
      </c>
      <c r="U266">
        <v>0.17469999999999999</v>
      </c>
    </row>
    <row r="267" spans="1:21" x14ac:dyDescent="0.3">
      <c r="A267" t="s">
        <v>1100</v>
      </c>
      <c r="B267" t="s">
        <v>1101</v>
      </c>
      <c r="C267" t="s">
        <v>20</v>
      </c>
      <c r="D267" t="s">
        <v>1102</v>
      </c>
      <c r="E267" t="s">
        <v>22</v>
      </c>
      <c r="F267" t="s">
        <v>53</v>
      </c>
      <c r="G267">
        <v>1</v>
      </c>
      <c r="H267">
        <v>95000</v>
      </c>
      <c r="J267" t="s">
        <v>1103</v>
      </c>
      <c r="K267">
        <v>0</v>
      </c>
      <c r="L267">
        <v>1871</v>
      </c>
      <c r="M267">
        <v>155</v>
      </c>
      <c r="N267" t="s">
        <v>2502</v>
      </c>
      <c r="O267" t="s">
        <v>2927</v>
      </c>
      <c r="P267">
        <v>90405.4</v>
      </c>
      <c r="Q267">
        <v>109382.39999999999</v>
      </c>
      <c r="R267">
        <v>7831</v>
      </c>
      <c r="S267">
        <v>13.967871280807048</v>
      </c>
      <c r="T267">
        <v>26981</v>
      </c>
      <c r="U267">
        <v>0.29020000000000001</v>
      </c>
    </row>
    <row r="268" spans="1:21" x14ac:dyDescent="0.3">
      <c r="A268" t="s">
        <v>1104</v>
      </c>
      <c r="B268" t="s">
        <v>1105</v>
      </c>
      <c r="C268" t="s">
        <v>20</v>
      </c>
      <c r="D268" t="s">
        <v>1106</v>
      </c>
      <c r="E268" t="s">
        <v>22</v>
      </c>
      <c r="F268" t="s">
        <v>62</v>
      </c>
      <c r="G268">
        <v>0</v>
      </c>
      <c r="H268">
        <v>9600</v>
      </c>
      <c r="J268" t="s">
        <v>1107</v>
      </c>
      <c r="K268">
        <v>0</v>
      </c>
      <c r="L268">
        <v>1939</v>
      </c>
      <c r="M268">
        <v>87</v>
      </c>
      <c r="N268" t="s">
        <v>2504</v>
      </c>
      <c r="O268" t="s">
        <v>2927</v>
      </c>
      <c r="P268">
        <v>40805.300000000003</v>
      </c>
      <c r="Q268">
        <v>46747.3</v>
      </c>
      <c r="R268">
        <v>2109</v>
      </c>
      <c r="S268">
        <v>22.165623518255099</v>
      </c>
      <c r="T268">
        <v>6150</v>
      </c>
      <c r="U268">
        <v>0.34289999999999998</v>
      </c>
    </row>
    <row r="269" spans="1:21" x14ac:dyDescent="0.3">
      <c r="A269" t="s">
        <v>1108</v>
      </c>
      <c r="B269" t="s">
        <v>1109</v>
      </c>
      <c r="C269" t="s">
        <v>20</v>
      </c>
      <c r="D269" t="s">
        <v>1110</v>
      </c>
      <c r="E269" t="s">
        <v>22</v>
      </c>
      <c r="F269" t="s">
        <v>28</v>
      </c>
      <c r="G269">
        <v>0</v>
      </c>
      <c r="H269">
        <v>18000</v>
      </c>
      <c r="J269" t="s">
        <v>1111</v>
      </c>
      <c r="K269">
        <v>0</v>
      </c>
      <c r="L269">
        <v>1929</v>
      </c>
      <c r="M269">
        <v>97</v>
      </c>
      <c r="N269" t="s">
        <v>2506</v>
      </c>
      <c r="O269" t="s">
        <v>2927</v>
      </c>
      <c r="P269">
        <v>14582.3</v>
      </c>
      <c r="Q269">
        <v>17411.3</v>
      </c>
      <c r="R269">
        <v>1414</v>
      </c>
      <c r="S269">
        <v>12.313507779349363</v>
      </c>
      <c r="T269">
        <v>7562</v>
      </c>
      <c r="U269">
        <v>0.187</v>
      </c>
    </row>
    <row r="270" spans="1:21" x14ac:dyDescent="0.3">
      <c r="A270" t="s">
        <v>1112</v>
      </c>
      <c r="B270" t="s">
        <v>1113</v>
      </c>
      <c r="C270" t="s">
        <v>20</v>
      </c>
      <c r="D270" t="s">
        <v>1114</v>
      </c>
      <c r="E270" t="s">
        <v>22</v>
      </c>
      <c r="F270" t="s">
        <v>53</v>
      </c>
      <c r="G270">
        <v>1</v>
      </c>
      <c r="H270">
        <v>39800</v>
      </c>
      <c r="J270" t="s">
        <v>1115</v>
      </c>
      <c r="K270">
        <v>0</v>
      </c>
      <c r="L270">
        <v>1966</v>
      </c>
      <c r="M270">
        <v>60</v>
      </c>
      <c r="N270" t="s">
        <v>2508</v>
      </c>
      <c r="O270" t="s">
        <v>2927</v>
      </c>
      <c r="P270">
        <v>461254.2</v>
      </c>
      <c r="Q270">
        <v>469995.2</v>
      </c>
      <c r="R270">
        <v>20544</v>
      </c>
      <c r="S270">
        <v>22.877492211838007</v>
      </c>
      <c r="T270">
        <v>32791</v>
      </c>
      <c r="U270">
        <v>0.62649999999999995</v>
      </c>
    </row>
    <row r="271" spans="1:21" x14ac:dyDescent="0.3">
      <c r="A271" t="s">
        <v>1116</v>
      </c>
      <c r="B271" t="s">
        <v>1117</v>
      </c>
      <c r="C271" t="s">
        <v>41</v>
      </c>
      <c r="D271" t="s">
        <v>1118</v>
      </c>
      <c r="E271" t="s">
        <v>22</v>
      </c>
      <c r="F271" t="s">
        <v>95</v>
      </c>
      <c r="G271">
        <v>0</v>
      </c>
      <c r="H271">
        <v>2205</v>
      </c>
      <c r="J271" t="s">
        <v>1119</v>
      </c>
      <c r="K271">
        <v>0</v>
      </c>
      <c r="L271">
        <v>1986</v>
      </c>
      <c r="M271">
        <v>40</v>
      </c>
      <c r="N271" t="s">
        <v>2929</v>
      </c>
      <c r="O271" t="s">
        <v>2927</v>
      </c>
      <c r="P271">
        <v>7351.6</v>
      </c>
      <c r="Q271">
        <v>10411.4</v>
      </c>
      <c r="R271">
        <v>1052.7</v>
      </c>
      <c r="S271">
        <v>9.8901871378360404</v>
      </c>
      <c r="T271">
        <v>3487.2</v>
      </c>
      <c r="U271">
        <v>0.3019</v>
      </c>
    </row>
    <row r="272" spans="1:21" x14ac:dyDescent="0.3">
      <c r="A272" t="s">
        <v>1120</v>
      </c>
      <c r="B272" t="s">
        <v>1121</v>
      </c>
      <c r="C272" t="s">
        <v>20</v>
      </c>
      <c r="D272" t="s">
        <v>1122</v>
      </c>
      <c r="E272" t="s">
        <v>22</v>
      </c>
      <c r="F272" t="s">
        <v>100</v>
      </c>
      <c r="G272">
        <v>0</v>
      </c>
      <c r="H272">
        <v>14100</v>
      </c>
      <c r="J272" t="s">
        <v>1123</v>
      </c>
      <c r="K272">
        <v>0</v>
      </c>
      <c r="L272">
        <v>1889</v>
      </c>
      <c r="M272">
        <v>137</v>
      </c>
      <c r="N272" t="s">
        <v>2510</v>
      </c>
      <c r="O272" t="s">
        <v>2927</v>
      </c>
      <c r="P272">
        <v>19066.3</v>
      </c>
      <c r="Q272">
        <v>23224.9</v>
      </c>
      <c r="R272">
        <v>1305.8</v>
      </c>
      <c r="S272">
        <v>17.785954970133254</v>
      </c>
      <c r="T272">
        <v>6840.3</v>
      </c>
      <c r="U272">
        <v>0.19089999999999999</v>
      </c>
    </row>
    <row r="273" spans="1:21" x14ac:dyDescent="0.3">
      <c r="A273" t="s">
        <v>1124</v>
      </c>
      <c r="B273" t="s">
        <v>1125</v>
      </c>
      <c r="C273" t="s">
        <v>20</v>
      </c>
      <c r="D273" t="s">
        <v>1126</v>
      </c>
      <c r="E273" t="s">
        <v>22</v>
      </c>
      <c r="F273" t="s">
        <v>67</v>
      </c>
      <c r="G273">
        <v>0</v>
      </c>
      <c r="H273">
        <v>150000</v>
      </c>
      <c r="J273" t="s">
        <v>1127</v>
      </c>
      <c r="K273">
        <v>0</v>
      </c>
      <c r="L273">
        <v>1940</v>
      </c>
      <c r="M273">
        <v>86</v>
      </c>
      <c r="N273" t="s">
        <v>2512</v>
      </c>
      <c r="O273" t="s">
        <v>2927</v>
      </c>
      <c r="P273">
        <v>242288.6</v>
      </c>
      <c r="Q273">
        <v>296344.59999999998</v>
      </c>
      <c r="R273">
        <v>14594</v>
      </c>
      <c r="S273">
        <v>20.305920241195011</v>
      </c>
      <c r="T273">
        <v>26885</v>
      </c>
      <c r="U273">
        <v>0.54279999999999995</v>
      </c>
    </row>
    <row r="274" spans="1:21" x14ac:dyDescent="0.3">
      <c r="A274" t="s">
        <v>1128</v>
      </c>
      <c r="B274" t="s">
        <v>1129</v>
      </c>
      <c r="C274" t="s">
        <v>20</v>
      </c>
      <c r="D274" t="s">
        <v>1130</v>
      </c>
      <c r="E274" t="s">
        <v>22</v>
      </c>
      <c r="F274" t="s">
        <v>33</v>
      </c>
      <c r="G274">
        <v>0</v>
      </c>
      <c r="H274">
        <v>44000</v>
      </c>
      <c r="J274" t="s">
        <v>1131</v>
      </c>
      <c r="K274">
        <v>0</v>
      </c>
      <c r="L274">
        <v>1833</v>
      </c>
      <c r="M274">
        <v>193</v>
      </c>
      <c r="N274" t="s">
        <v>2514</v>
      </c>
      <c r="O274" t="s">
        <v>2927</v>
      </c>
      <c r="P274">
        <v>120940.4</v>
      </c>
      <c r="Q274">
        <v>127915.4</v>
      </c>
      <c r="R274">
        <v>5928</v>
      </c>
      <c r="S274">
        <v>21.578171390013495</v>
      </c>
      <c r="T274">
        <v>397958</v>
      </c>
      <c r="U274">
        <v>1.49E-2</v>
      </c>
    </row>
    <row r="275" spans="1:21" x14ac:dyDescent="0.3">
      <c r="A275" t="s">
        <v>1132</v>
      </c>
      <c r="B275" t="s">
        <v>1133</v>
      </c>
      <c r="C275" t="s">
        <v>20</v>
      </c>
      <c r="D275" t="s">
        <v>1134</v>
      </c>
      <c r="E275" t="s">
        <v>22</v>
      </c>
      <c r="F275" t="s">
        <v>33</v>
      </c>
      <c r="G275">
        <v>0</v>
      </c>
      <c r="H275">
        <v>74000</v>
      </c>
      <c r="J275" t="s">
        <v>1135</v>
      </c>
      <c r="K275">
        <v>0</v>
      </c>
      <c r="L275">
        <v>1891</v>
      </c>
      <c r="M275">
        <v>135</v>
      </c>
      <c r="N275" t="s">
        <v>2516</v>
      </c>
      <c r="O275" t="s">
        <v>2927</v>
      </c>
      <c r="P275">
        <v>306131.59999999998</v>
      </c>
      <c r="Q275">
        <v>342156.6</v>
      </c>
      <c r="R275">
        <v>29105</v>
      </c>
      <c r="S275">
        <v>11.755938842123346</v>
      </c>
      <c r="T275">
        <v>65011</v>
      </c>
      <c r="U275">
        <v>0.44769999999999999</v>
      </c>
    </row>
    <row r="276" spans="1:21" x14ac:dyDescent="0.3">
      <c r="A276" t="s">
        <v>1136</v>
      </c>
      <c r="B276" t="s">
        <v>1137</v>
      </c>
      <c r="C276" t="s">
        <v>41</v>
      </c>
      <c r="D276" t="s">
        <v>1138</v>
      </c>
      <c r="E276" t="s">
        <v>22</v>
      </c>
      <c r="F276" t="s">
        <v>95</v>
      </c>
      <c r="G276">
        <v>0</v>
      </c>
      <c r="H276">
        <v>78865</v>
      </c>
      <c r="J276" t="s">
        <v>1139</v>
      </c>
      <c r="K276">
        <v>0</v>
      </c>
      <c r="L276">
        <v>2004</v>
      </c>
      <c r="M276">
        <v>22</v>
      </c>
      <c r="N276" t="s">
        <v>2518</v>
      </c>
      <c r="O276" t="s">
        <v>2928</v>
      </c>
      <c r="P276">
        <v>1639607.3</v>
      </c>
      <c r="Q276">
        <v>1643096.3</v>
      </c>
      <c r="R276">
        <v>101892</v>
      </c>
      <c r="S276">
        <v>16.125861696698465</v>
      </c>
      <c r="T276">
        <v>200966</v>
      </c>
      <c r="U276">
        <v>0.50700000000000001</v>
      </c>
    </row>
    <row r="277" spans="1:21" x14ac:dyDescent="0.3">
      <c r="A277" t="s">
        <v>1140</v>
      </c>
      <c r="B277" t="s">
        <v>1141</v>
      </c>
      <c r="C277" t="s">
        <v>20</v>
      </c>
      <c r="D277" t="s">
        <v>1142</v>
      </c>
      <c r="E277" t="s">
        <v>22</v>
      </c>
      <c r="F277" t="s">
        <v>53</v>
      </c>
      <c r="G277">
        <v>1</v>
      </c>
      <c r="H277">
        <v>46000</v>
      </c>
      <c r="J277" t="s">
        <v>1143</v>
      </c>
      <c r="K277">
        <v>0</v>
      </c>
      <c r="L277">
        <v>1999</v>
      </c>
      <c r="M277">
        <v>27</v>
      </c>
      <c r="N277" t="s">
        <v>2520</v>
      </c>
      <c r="O277" t="s">
        <v>2927</v>
      </c>
      <c r="P277">
        <v>46993.5</v>
      </c>
      <c r="Q277">
        <v>90838.5</v>
      </c>
      <c r="R277">
        <v>5962</v>
      </c>
      <c r="S277">
        <v>15.236246226098624</v>
      </c>
      <c r="T277">
        <v>77079</v>
      </c>
      <c r="U277">
        <v>7.7299999999999994E-2</v>
      </c>
    </row>
    <row r="278" spans="1:21" x14ac:dyDescent="0.3">
      <c r="A278" t="s">
        <v>1144</v>
      </c>
      <c r="B278" t="s">
        <v>1145</v>
      </c>
      <c r="C278" t="s">
        <v>20</v>
      </c>
      <c r="D278" t="s">
        <v>1146</v>
      </c>
      <c r="E278" t="s">
        <v>22</v>
      </c>
      <c r="F278" t="s">
        <v>67</v>
      </c>
      <c r="G278">
        <v>0</v>
      </c>
      <c r="H278">
        <v>69000</v>
      </c>
      <c r="J278" t="s">
        <v>1147</v>
      </c>
      <c r="K278">
        <v>0</v>
      </c>
      <c r="L278">
        <v>1986</v>
      </c>
      <c r="M278">
        <v>40</v>
      </c>
      <c r="N278" t="s">
        <v>2522</v>
      </c>
      <c r="O278" t="s">
        <v>2927</v>
      </c>
      <c r="P278">
        <v>9429.7999999999993</v>
      </c>
      <c r="Q278">
        <v>39556.9</v>
      </c>
      <c r="R278">
        <v>2354.6</v>
      </c>
      <c r="S278">
        <v>16.79983861377729</v>
      </c>
      <c r="T278">
        <v>17537.7</v>
      </c>
      <c r="U278">
        <v>0.1343</v>
      </c>
    </row>
    <row r="279" spans="1:21" x14ac:dyDescent="0.3">
      <c r="A279" t="s">
        <v>1148</v>
      </c>
      <c r="B279" t="s">
        <v>1149</v>
      </c>
      <c r="C279" t="s">
        <v>41</v>
      </c>
      <c r="D279" t="s">
        <v>1150</v>
      </c>
      <c r="E279" t="s">
        <v>22</v>
      </c>
      <c r="F279" t="s">
        <v>43</v>
      </c>
      <c r="G279">
        <v>0</v>
      </c>
      <c r="H279">
        <v>19400</v>
      </c>
      <c r="J279" t="s">
        <v>1151</v>
      </c>
      <c r="K279">
        <v>0</v>
      </c>
      <c r="L279">
        <v>1989</v>
      </c>
      <c r="M279">
        <v>37</v>
      </c>
      <c r="N279" t="s">
        <v>2524</v>
      </c>
      <c r="O279" t="s">
        <v>2927</v>
      </c>
      <c r="P279">
        <v>40390.400000000001</v>
      </c>
      <c r="Q279">
        <v>45544.3</v>
      </c>
      <c r="R279">
        <v>979.9</v>
      </c>
      <c r="S279">
        <v>46.478518216144508</v>
      </c>
      <c r="T279">
        <v>4372.3999999999996</v>
      </c>
      <c r="U279">
        <v>0.22409999999999999</v>
      </c>
    </row>
    <row r="280" spans="1:21" x14ac:dyDescent="0.3">
      <c r="A280" t="s">
        <v>1152</v>
      </c>
      <c r="B280" t="s">
        <v>1153</v>
      </c>
      <c r="C280" t="s">
        <v>41</v>
      </c>
      <c r="D280" t="s">
        <v>1154</v>
      </c>
      <c r="E280" t="s">
        <v>22</v>
      </c>
      <c r="F280" t="s">
        <v>43</v>
      </c>
      <c r="G280">
        <v>0</v>
      </c>
      <c r="H280">
        <v>53000</v>
      </c>
      <c r="J280" t="s">
        <v>1155</v>
      </c>
      <c r="K280">
        <v>0</v>
      </c>
      <c r="L280">
        <v>1978</v>
      </c>
      <c r="M280">
        <v>48</v>
      </c>
      <c r="N280" t="s">
        <v>2526</v>
      </c>
      <c r="O280" t="s">
        <v>2927</v>
      </c>
      <c r="P280">
        <v>464126.3</v>
      </c>
      <c r="Q280">
        <v>464604.3</v>
      </c>
      <c r="R280">
        <v>22234</v>
      </c>
      <c r="S280">
        <v>20.896118557164701</v>
      </c>
      <c r="T280">
        <v>42312</v>
      </c>
      <c r="U280">
        <v>0.52549999999999997</v>
      </c>
    </row>
    <row r="281" spans="1:21" x14ac:dyDescent="0.3">
      <c r="A281" t="s">
        <v>1156</v>
      </c>
      <c r="B281" t="s">
        <v>1157</v>
      </c>
      <c r="C281" t="s">
        <v>41</v>
      </c>
      <c r="D281" t="s">
        <v>1158</v>
      </c>
      <c r="E281" t="s">
        <v>22</v>
      </c>
      <c r="F281" t="s">
        <v>43</v>
      </c>
      <c r="G281">
        <v>0</v>
      </c>
      <c r="H281">
        <v>228000</v>
      </c>
      <c r="J281" t="s">
        <v>1159</v>
      </c>
      <c r="K281">
        <v>0</v>
      </c>
      <c r="L281">
        <v>2014</v>
      </c>
      <c r="M281">
        <v>12</v>
      </c>
      <c r="N281" t="s">
        <v>2528</v>
      </c>
      <c r="O281" t="s">
        <v>2927</v>
      </c>
      <c r="P281">
        <v>2916341.6</v>
      </c>
      <c r="Q281">
        <v>2950157.6</v>
      </c>
      <c r="R281">
        <v>175259</v>
      </c>
      <c r="S281">
        <v>16.833130395585961</v>
      </c>
      <c r="T281">
        <v>305453</v>
      </c>
      <c r="U281">
        <v>0.57379999999999998</v>
      </c>
    </row>
    <row r="282" spans="1:21" x14ac:dyDescent="0.3">
      <c r="A282" t="s">
        <v>1160</v>
      </c>
      <c r="B282" t="s">
        <v>1161</v>
      </c>
      <c r="C282" t="s">
        <v>20</v>
      </c>
      <c r="D282" t="s">
        <v>1162</v>
      </c>
      <c r="E282" t="s">
        <v>22</v>
      </c>
      <c r="F282" t="s">
        <v>80</v>
      </c>
      <c r="G282">
        <v>0</v>
      </c>
      <c r="H282">
        <v>2507</v>
      </c>
      <c r="J282" t="s">
        <v>1163</v>
      </c>
      <c r="K282">
        <v>0</v>
      </c>
      <c r="L282">
        <v>1977</v>
      </c>
      <c r="M282">
        <v>49</v>
      </c>
      <c r="N282" t="s">
        <v>2530</v>
      </c>
      <c r="O282" t="s">
        <v>2927</v>
      </c>
      <c r="P282">
        <v>15648.4</v>
      </c>
      <c r="Q282">
        <v>21174.2</v>
      </c>
      <c r="R282">
        <v>1242.4000000000001</v>
      </c>
      <c r="S282">
        <v>17.042981326464908</v>
      </c>
      <c r="T282">
        <v>2209.1</v>
      </c>
      <c r="U282">
        <v>0.56240000000000001</v>
      </c>
    </row>
    <row r="283" spans="1:21" x14ac:dyDescent="0.3">
      <c r="A283" t="s">
        <v>1164</v>
      </c>
      <c r="B283" t="s">
        <v>1165</v>
      </c>
      <c r="C283" t="s">
        <v>41</v>
      </c>
      <c r="D283" t="s">
        <v>1166</v>
      </c>
      <c r="E283" t="s">
        <v>22</v>
      </c>
      <c r="F283" t="s">
        <v>33</v>
      </c>
      <c r="G283">
        <v>0</v>
      </c>
      <c r="H283">
        <v>4700</v>
      </c>
      <c r="J283" t="s">
        <v>1167</v>
      </c>
      <c r="K283">
        <v>0</v>
      </c>
      <c r="L283">
        <v>2010</v>
      </c>
      <c r="M283">
        <v>16</v>
      </c>
      <c r="N283" t="s">
        <v>2532</v>
      </c>
      <c r="O283" t="s">
        <v>2927</v>
      </c>
      <c r="P283">
        <v>21156.9</v>
      </c>
      <c r="Q283">
        <v>14326.9</v>
      </c>
      <c r="R283">
        <v>-2859</v>
      </c>
      <c r="S283">
        <v>-5.0111577474641482</v>
      </c>
      <c r="T283">
        <v>1944</v>
      </c>
      <c r="U283">
        <v>-1.4706999999999999</v>
      </c>
    </row>
    <row r="284" spans="1:21" x14ac:dyDescent="0.3">
      <c r="A284" t="s">
        <v>1168</v>
      </c>
      <c r="B284" t="s">
        <v>1169</v>
      </c>
      <c r="C284" t="s">
        <v>20</v>
      </c>
      <c r="D284" t="s">
        <v>1170</v>
      </c>
      <c r="E284" t="s">
        <v>22</v>
      </c>
      <c r="F284" t="s">
        <v>33</v>
      </c>
      <c r="G284">
        <v>0</v>
      </c>
      <c r="H284">
        <v>19000</v>
      </c>
      <c r="J284" t="s">
        <v>1171</v>
      </c>
      <c r="K284">
        <v>0</v>
      </c>
      <c r="L284">
        <v>1999</v>
      </c>
      <c r="M284">
        <v>27</v>
      </c>
      <c r="N284" t="s">
        <v>2929</v>
      </c>
      <c r="O284" t="s">
        <v>2927</v>
      </c>
      <c r="P284">
        <v>7933.6</v>
      </c>
      <c r="Q284">
        <v>7731.6</v>
      </c>
      <c r="R284">
        <v>902</v>
      </c>
      <c r="S284">
        <v>8.5716186252771625</v>
      </c>
      <c r="T284">
        <v>43563</v>
      </c>
      <c r="U284">
        <v>2.07E-2</v>
      </c>
    </row>
    <row r="285" spans="1:21" x14ac:dyDescent="0.3">
      <c r="A285" t="s">
        <v>1172</v>
      </c>
      <c r="B285" t="s">
        <v>1173</v>
      </c>
      <c r="C285" t="s">
        <v>20</v>
      </c>
      <c r="D285" t="s">
        <v>1174</v>
      </c>
      <c r="E285" t="s">
        <v>22</v>
      </c>
      <c r="F285" t="s">
        <v>100</v>
      </c>
      <c r="G285">
        <v>0</v>
      </c>
      <c r="H285">
        <v>16200</v>
      </c>
      <c r="J285" t="s">
        <v>1175</v>
      </c>
      <c r="K285">
        <v>0</v>
      </c>
      <c r="L285">
        <v>1774</v>
      </c>
      <c r="M285">
        <v>252</v>
      </c>
      <c r="N285" t="s">
        <v>2534</v>
      </c>
      <c r="O285" t="s">
        <v>2927</v>
      </c>
      <c r="P285">
        <v>9216.6</v>
      </c>
      <c r="Q285">
        <v>15061.2</v>
      </c>
      <c r="R285">
        <v>2363.3000000000002</v>
      </c>
      <c r="S285">
        <v>6.3729530740913125</v>
      </c>
      <c r="T285">
        <v>11140.8</v>
      </c>
      <c r="U285">
        <v>0.21210000000000001</v>
      </c>
    </row>
    <row r="286" spans="1:21" x14ac:dyDescent="0.3">
      <c r="A286" t="s">
        <v>1176</v>
      </c>
      <c r="B286" t="s">
        <v>1177</v>
      </c>
      <c r="C286" t="s">
        <v>41</v>
      </c>
      <c r="D286" t="s">
        <v>1178</v>
      </c>
      <c r="E286" t="s">
        <v>22</v>
      </c>
      <c r="F286" t="s">
        <v>100</v>
      </c>
      <c r="G286">
        <v>0</v>
      </c>
      <c r="H286">
        <v>91000</v>
      </c>
      <c r="J286" t="s">
        <v>1179</v>
      </c>
      <c r="K286">
        <v>0</v>
      </c>
      <c r="L286">
        <v>2000</v>
      </c>
      <c r="M286">
        <v>26</v>
      </c>
      <c r="N286" t="s">
        <v>2536</v>
      </c>
      <c r="O286" t="s">
        <v>2927</v>
      </c>
      <c r="P286">
        <v>78936.100000000006</v>
      </c>
      <c r="Q286">
        <v>98832.1</v>
      </c>
      <c r="R286">
        <v>4990</v>
      </c>
      <c r="S286">
        <v>19.806032064128257</v>
      </c>
      <c r="T286">
        <v>38537</v>
      </c>
      <c r="U286">
        <v>0.1295</v>
      </c>
    </row>
    <row r="287" spans="1:21" x14ac:dyDescent="0.3">
      <c r="A287" t="s">
        <v>1180</v>
      </c>
      <c r="B287" t="s">
        <v>1181</v>
      </c>
      <c r="C287" t="s">
        <v>41</v>
      </c>
      <c r="D287" t="s">
        <v>1182</v>
      </c>
      <c r="E287" t="s">
        <v>22</v>
      </c>
      <c r="F287" t="s">
        <v>43</v>
      </c>
      <c r="G287">
        <v>0</v>
      </c>
      <c r="H287">
        <v>4017</v>
      </c>
      <c r="J287" t="s">
        <v>1183</v>
      </c>
      <c r="K287">
        <v>0</v>
      </c>
      <c r="L287">
        <v>1997</v>
      </c>
      <c r="M287">
        <v>29</v>
      </c>
      <c r="N287" t="s">
        <v>2538</v>
      </c>
      <c r="O287" t="s">
        <v>2927</v>
      </c>
      <c r="P287">
        <v>56129.1</v>
      </c>
      <c r="Q287">
        <v>54896.7</v>
      </c>
      <c r="R287">
        <v>781.1</v>
      </c>
      <c r="S287">
        <v>70.281270003840731</v>
      </c>
      <c r="T287">
        <v>2790.5</v>
      </c>
      <c r="U287">
        <v>0.27989999999999998</v>
      </c>
    </row>
    <row r="288" spans="1:21" x14ac:dyDescent="0.3">
      <c r="A288" t="s">
        <v>1184</v>
      </c>
      <c r="B288" t="s">
        <v>1185</v>
      </c>
      <c r="C288" t="s">
        <v>41</v>
      </c>
      <c r="D288" t="s">
        <v>1186</v>
      </c>
      <c r="E288" t="s">
        <v>22</v>
      </c>
      <c r="F288" t="s">
        <v>100</v>
      </c>
      <c r="G288">
        <v>0</v>
      </c>
      <c r="H288">
        <v>6043</v>
      </c>
      <c r="J288" t="s">
        <v>1187</v>
      </c>
      <c r="K288">
        <v>0</v>
      </c>
      <c r="L288">
        <v>1985</v>
      </c>
      <c r="M288">
        <v>41</v>
      </c>
      <c r="N288" t="s">
        <v>2540</v>
      </c>
      <c r="O288" t="s">
        <v>2928</v>
      </c>
      <c r="P288">
        <v>83446.5</v>
      </c>
      <c r="Q288">
        <v>80747.3</v>
      </c>
      <c r="R288">
        <v>2620.1</v>
      </c>
      <c r="S288">
        <v>30.818403877714594</v>
      </c>
      <c r="T288">
        <v>8294.2999999999993</v>
      </c>
      <c r="U288">
        <v>0.31590000000000001</v>
      </c>
    </row>
    <row r="289" spans="1:21" x14ac:dyDescent="0.3">
      <c r="A289" t="s">
        <v>1188</v>
      </c>
      <c r="B289" t="s">
        <v>1189</v>
      </c>
      <c r="C289" t="s">
        <v>20</v>
      </c>
      <c r="D289" t="s">
        <v>1190</v>
      </c>
      <c r="E289" t="s">
        <v>22</v>
      </c>
      <c r="F289" t="s">
        <v>53</v>
      </c>
      <c r="G289">
        <v>1</v>
      </c>
      <c r="H289">
        <v>16076</v>
      </c>
      <c r="J289" t="s">
        <v>1191</v>
      </c>
      <c r="K289">
        <v>0</v>
      </c>
      <c r="L289">
        <v>1900</v>
      </c>
      <c r="M289">
        <v>126</v>
      </c>
      <c r="N289" t="s">
        <v>2542</v>
      </c>
      <c r="O289" t="s">
        <v>2927</v>
      </c>
      <c r="P289">
        <v>84676.7</v>
      </c>
      <c r="Q289">
        <v>89814.7</v>
      </c>
      <c r="R289">
        <v>3737</v>
      </c>
      <c r="S289">
        <v>24.033904201230932</v>
      </c>
      <c r="T289">
        <v>7718</v>
      </c>
      <c r="U289">
        <v>0.48420000000000002</v>
      </c>
    </row>
    <row r="290" spans="1:21" x14ac:dyDescent="0.3">
      <c r="A290" t="s">
        <v>1192</v>
      </c>
      <c r="B290" t="s">
        <v>1193</v>
      </c>
      <c r="C290" t="s">
        <v>20</v>
      </c>
      <c r="D290" t="s">
        <v>1194</v>
      </c>
      <c r="E290" t="s">
        <v>22</v>
      </c>
      <c r="F290" t="s">
        <v>53</v>
      </c>
      <c r="G290">
        <v>1</v>
      </c>
      <c r="H290">
        <v>83000</v>
      </c>
      <c r="J290" t="s">
        <v>1195</v>
      </c>
      <c r="K290">
        <v>0</v>
      </c>
      <c r="L290">
        <v>1924</v>
      </c>
      <c r="M290">
        <v>102</v>
      </c>
      <c r="N290" t="s">
        <v>2544</v>
      </c>
      <c r="O290" t="s">
        <v>2927</v>
      </c>
      <c r="P290">
        <v>264394.59999999998</v>
      </c>
      <c r="Q290" t="s">
        <v>91</v>
      </c>
      <c r="R290">
        <v>0</v>
      </c>
      <c r="S290" t="e">
        <v>#VALUE!</v>
      </c>
      <c r="T290">
        <v>70296</v>
      </c>
      <c r="U290">
        <v>0</v>
      </c>
    </row>
    <row r="291" spans="1:21" x14ac:dyDescent="0.3">
      <c r="A291" t="s">
        <v>1196</v>
      </c>
      <c r="B291" t="s">
        <v>1197</v>
      </c>
      <c r="C291" t="s">
        <v>20</v>
      </c>
      <c r="D291" t="s">
        <v>1198</v>
      </c>
      <c r="E291" t="s">
        <v>22</v>
      </c>
      <c r="F291" t="s">
        <v>43</v>
      </c>
      <c r="G291">
        <v>0</v>
      </c>
      <c r="H291">
        <v>23000</v>
      </c>
      <c r="J291" t="s">
        <v>1199</v>
      </c>
      <c r="K291">
        <v>0</v>
      </c>
      <c r="L291">
        <v>1928</v>
      </c>
      <c r="M291">
        <v>98</v>
      </c>
      <c r="N291" t="s">
        <v>2546</v>
      </c>
      <c r="O291" t="s">
        <v>2927</v>
      </c>
      <c r="P291">
        <v>79890.7</v>
      </c>
      <c r="Q291">
        <v>88508.7</v>
      </c>
      <c r="R291">
        <v>3523</v>
      </c>
      <c r="S291">
        <v>25.123105307976157</v>
      </c>
      <c r="T291">
        <v>11682</v>
      </c>
      <c r="U291">
        <v>0.30159999999999998</v>
      </c>
    </row>
    <row r="292" spans="1:21" x14ac:dyDescent="0.3">
      <c r="A292" t="s">
        <v>1200</v>
      </c>
      <c r="B292" t="s">
        <v>1201</v>
      </c>
      <c r="C292" t="s">
        <v>20</v>
      </c>
      <c r="D292" t="s">
        <v>1202</v>
      </c>
      <c r="E292" t="s">
        <v>22</v>
      </c>
      <c r="F292" t="s">
        <v>53</v>
      </c>
      <c r="G292">
        <v>1</v>
      </c>
      <c r="H292">
        <v>6268</v>
      </c>
      <c r="J292" t="s">
        <v>1203</v>
      </c>
      <c r="K292">
        <v>0</v>
      </c>
      <c r="L292">
        <v>1998</v>
      </c>
      <c r="M292">
        <v>28</v>
      </c>
      <c r="N292" t="s">
        <v>2548</v>
      </c>
      <c r="O292" t="s">
        <v>2927</v>
      </c>
      <c r="P292">
        <v>42014.7</v>
      </c>
      <c r="Q292">
        <v>47841.4</v>
      </c>
      <c r="R292">
        <v>1824.1</v>
      </c>
      <c r="S292">
        <v>26.227399813606713</v>
      </c>
      <c r="T292">
        <v>3134.5</v>
      </c>
      <c r="U292">
        <v>0.58189999999999997</v>
      </c>
    </row>
    <row r="293" spans="1:21" x14ac:dyDescent="0.3">
      <c r="A293" t="s">
        <v>1204</v>
      </c>
      <c r="B293" t="s">
        <v>1205</v>
      </c>
      <c r="C293" t="s">
        <v>41</v>
      </c>
      <c r="D293" t="s">
        <v>1206</v>
      </c>
      <c r="E293" t="s">
        <v>22</v>
      </c>
      <c r="F293" t="s">
        <v>53</v>
      </c>
      <c r="G293">
        <v>1</v>
      </c>
      <c r="H293">
        <v>9525</v>
      </c>
      <c r="I293" t="s">
        <v>1207</v>
      </c>
      <c r="J293" t="s">
        <v>1207</v>
      </c>
      <c r="K293">
        <v>1</v>
      </c>
      <c r="L293">
        <v>1971</v>
      </c>
      <c r="M293">
        <v>55</v>
      </c>
      <c r="N293" t="s">
        <v>2550</v>
      </c>
      <c r="O293" t="s">
        <v>2927</v>
      </c>
      <c r="P293">
        <v>49784.3</v>
      </c>
      <c r="Q293">
        <v>58701.3</v>
      </c>
      <c r="R293">
        <v>3117</v>
      </c>
      <c r="S293">
        <v>18.832627526467757</v>
      </c>
      <c r="T293">
        <v>8262</v>
      </c>
      <c r="U293">
        <v>0.37730000000000002</v>
      </c>
    </row>
    <row r="294" spans="1:21" x14ac:dyDescent="0.3">
      <c r="A294" t="s">
        <v>1208</v>
      </c>
      <c r="B294" t="s">
        <v>1209</v>
      </c>
      <c r="C294" t="s">
        <v>41</v>
      </c>
      <c r="D294" t="s">
        <v>1210</v>
      </c>
      <c r="E294" t="s">
        <v>22</v>
      </c>
      <c r="F294" t="s">
        <v>43</v>
      </c>
      <c r="G294">
        <v>0</v>
      </c>
      <c r="H294">
        <v>11700</v>
      </c>
      <c r="J294" t="s">
        <v>1211</v>
      </c>
      <c r="K294">
        <v>0</v>
      </c>
      <c r="L294">
        <v>1992</v>
      </c>
      <c r="M294">
        <v>34</v>
      </c>
      <c r="N294" t="s">
        <v>2552</v>
      </c>
      <c r="O294" t="s">
        <v>2928</v>
      </c>
      <c r="P294">
        <v>19541.599999999999</v>
      </c>
      <c r="Q294">
        <v>19260.599999999999</v>
      </c>
      <c r="R294">
        <v>1751</v>
      </c>
      <c r="S294">
        <v>10.99977155910908</v>
      </c>
      <c r="T294">
        <v>6709</v>
      </c>
      <c r="U294">
        <v>0.26100000000000001</v>
      </c>
    </row>
    <row r="295" spans="1:21" x14ac:dyDescent="0.3">
      <c r="A295" t="s">
        <v>1212</v>
      </c>
      <c r="B295" t="s">
        <v>1213</v>
      </c>
      <c r="C295" t="s">
        <v>41</v>
      </c>
      <c r="D295" t="s">
        <v>1214</v>
      </c>
      <c r="E295" t="s">
        <v>22</v>
      </c>
      <c r="F295" t="s">
        <v>95</v>
      </c>
      <c r="G295">
        <v>0</v>
      </c>
      <c r="H295">
        <v>16000</v>
      </c>
      <c r="J295" t="s">
        <v>1215</v>
      </c>
      <c r="K295">
        <v>0</v>
      </c>
      <c r="L295">
        <v>1997</v>
      </c>
      <c r="M295">
        <v>29</v>
      </c>
      <c r="N295" t="s">
        <v>2554</v>
      </c>
      <c r="O295" t="s">
        <v>2928</v>
      </c>
      <c r="P295">
        <v>406340.9</v>
      </c>
      <c r="Q295">
        <v>414254.4</v>
      </c>
      <c r="R295">
        <v>13660</v>
      </c>
      <c r="S295">
        <v>30.326090775988288</v>
      </c>
      <c r="T295">
        <v>45183</v>
      </c>
      <c r="U295">
        <v>0.30230000000000001</v>
      </c>
    </row>
    <row r="296" spans="1:21" x14ac:dyDescent="0.3">
      <c r="A296" t="s">
        <v>1216</v>
      </c>
      <c r="B296" t="s">
        <v>1217</v>
      </c>
      <c r="C296" t="s">
        <v>20</v>
      </c>
      <c r="D296" t="s">
        <v>1218</v>
      </c>
      <c r="E296" t="s">
        <v>22</v>
      </c>
      <c r="F296" t="s">
        <v>62</v>
      </c>
      <c r="G296">
        <v>0</v>
      </c>
      <c r="H296">
        <v>17500</v>
      </c>
      <c r="J296" t="s">
        <v>1219</v>
      </c>
      <c r="K296">
        <v>0</v>
      </c>
      <c r="L296">
        <v>1916</v>
      </c>
      <c r="M296">
        <v>110</v>
      </c>
      <c r="N296" t="s">
        <v>2556</v>
      </c>
      <c r="O296" t="s">
        <v>2927</v>
      </c>
      <c r="P296">
        <v>141423.6</v>
      </c>
      <c r="Q296">
        <v>138884.6</v>
      </c>
      <c r="R296">
        <v>13858</v>
      </c>
      <c r="S296">
        <v>10.021980083706163</v>
      </c>
      <c r="T296">
        <v>22669</v>
      </c>
      <c r="U296">
        <v>0.61129999999999995</v>
      </c>
    </row>
    <row r="297" spans="1:21" x14ac:dyDescent="0.3">
      <c r="A297" t="s">
        <v>1220</v>
      </c>
      <c r="B297" t="s">
        <v>1221</v>
      </c>
      <c r="C297" t="s">
        <v>41</v>
      </c>
      <c r="D297" t="s">
        <v>1222</v>
      </c>
      <c r="E297" t="s">
        <v>22</v>
      </c>
      <c r="F297" t="s">
        <v>95</v>
      </c>
      <c r="G297">
        <v>0</v>
      </c>
      <c r="H297">
        <v>22300</v>
      </c>
      <c r="J297" t="s">
        <v>1223</v>
      </c>
      <c r="K297">
        <v>0</v>
      </c>
      <c r="L297">
        <v>1980</v>
      </c>
      <c r="M297">
        <v>46</v>
      </c>
      <c r="N297" t="s">
        <v>2559</v>
      </c>
      <c r="O297" t="s">
        <v>2927</v>
      </c>
      <c r="P297">
        <v>13893.5</v>
      </c>
      <c r="Q297">
        <v>15430.5</v>
      </c>
      <c r="R297">
        <v>1187</v>
      </c>
      <c r="S297">
        <v>12.999578770008425</v>
      </c>
      <c r="T297">
        <v>8624</v>
      </c>
      <c r="U297">
        <v>0.1376</v>
      </c>
    </row>
    <row r="298" spans="1:21" x14ac:dyDescent="0.3">
      <c r="A298" t="s">
        <v>1224</v>
      </c>
      <c r="B298" t="s">
        <v>1225</v>
      </c>
      <c r="C298" t="s">
        <v>20</v>
      </c>
      <c r="D298" t="s">
        <v>1226</v>
      </c>
      <c r="E298" t="s">
        <v>22</v>
      </c>
      <c r="F298" t="s">
        <v>89</v>
      </c>
      <c r="G298">
        <v>0</v>
      </c>
      <c r="H298">
        <v>17400</v>
      </c>
      <c r="J298" t="s">
        <v>1227</v>
      </c>
      <c r="K298">
        <v>0</v>
      </c>
      <c r="L298">
        <v>1925</v>
      </c>
      <c r="M298">
        <v>101</v>
      </c>
      <c r="N298" t="s">
        <v>2561</v>
      </c>
      <c r="O298" t="s">
        <v>2927</v>
      </c>
      <c r="P298">
        <v>195371.9</v>
      </c>
      <c r="Q298">
        <v>301650.90000000002</v>
      </c>
      <c r="R298">
        <v>14138</v>
      </c>
      <c r="S298">
        <v>21.33617909180931</v>
      </c>
      <c r="T298">
        <v>27412</v>
      </c>
      <c r="U298">
        <v>0.51580000000000004</v>
      </c>
    </row>
    <row r="299" spans="1:21" x14ac:dyDescent="0.3">
      <c r="A299" t="s">
        <v>1228</v>
      </c>
      <c r="B299" t="s">
        <v>1229</v>
      </c>
      <c r="C299" t="s">
        <v>20</v>
      </c>
      <c r="D299" t="s">
        <v>1230</v>
      </c>
      <c r="E299" t="s">
        <v>22</v>
      </c>
      <c r="F299" t="s">
        <v>67</v>
      </c>
      <c r="G299">
        <v>0</v>
      </c>
      <c r="H299">
        <v>77800</v>
      </c>
      <c r="J299" t="s">
        <v>1231</v>
      </c>
      <c r="K299">
        <v>0</v>
      </c>
      <c r="L299">
        <v>1964</v>
      </c>
      <c r="M299">
        <v>62</v>
      </c>
      <c r="N299" t="s">
        <v>2563</v>
      </c>
      <c r="O299" t="s">
        <v>2927</v>
      </c>
      <c r="P299">
        <v>92050.2</v>
      </c>
      <c r="Q299">
        <v>94987.199999999997</v>
      </c>
      <c r="R299">
        <v>3808</v>
      </c>
      <c r="S299">
        <v>24.944117647058821</v>
      </c>
      <c r="T299">
        <v>46513</v>
      </c>
      <c r="U299">
        <v>8.1900000000000001E-2</v>
      </c>
    </row>
    <row r="300" spans="1:21" x14ac:dyDescent="0.3">
      <c r="A300" t="s">
        <v>1232</v>
      </c>
      <c r="B300" t="s">
        <v>1233</v>
      </c>
      <c r="C300" t="s">
        <v>20</v>
      </c>
      <c r="D300" t="s">
        <v>1234</v>
      </c>
      <c r="E300" t="s">
        <v>22</v>
      </c>
      <c r="F300" t="s">
        <v>89</v>
      </c>
      <c r="G300">
        <v>0</v>
      </c>
      <c r="H300">
        <v>7703</v>
      </c>
      <c r="J300" t="s">
        <v>1235</v>
      </c>
      <c r="K300">
        <v>0</v>
      </c>
      <c r="L300">
        <v>1847</v>
      </c>
      <c r="M300">
        <v>179</v>
      </c>
      <c r="N300" t="s">
        <v>2565</v>
      </c>
      <c r="O300" t="s">
        <v>2927</v>
      </c>
      <c r="P300">
        <v>22634.6</v>
      </c>
      <c r="Q300">
        <v>40974.699999999997</v>
      </c>
      <c r="R300">
        <v>2887.5</v>
      </c>
      <c r="S300">
        <v>14.190372294372294</v>
      </c>
      <c r="T300">
        <v>6642.2</v>
      </c>
      <c r="U300">
        <v>0.43469999999999998</v>
      </c>
    </row>
    <row r="301" spans="1:21" x14ac:dyDescent="0.3">
      <c r="A301" t="s">
        <v>1236</v>
      </c>
      <c r="B301" t="s">
        <v>1237</v>
      </c>
      <c r="C301" t="s">
        <v>41</v>
      </c>
      <c r="D301" t="s">
        <v>1238</v>
      </c>
      <c r="E301" t="s">
        <v>22</v>
      </c>
      <c r="F301" t="s">
        <v>28</v>
      </c>
      <c r="G301">
        <v>0</v>
      </c>
      <c r="H301">
        <v>8200</v>
      </c>
      <c r="J301" t="s">
        <v>1239</v>
      </c>
      <c r="K301">
        <v>0</v>
      </c>
      <c r="L301">
        <v>1909</v>
      </c>
      <c r="M301">
        <v>117</v>
      </c>
      <c r="N301" t="s">
        <v>2567</v>
      </c>
      <c r="O301" t="s">
        <v>2927</v>
      </c>
      <c r="P301">
        <v>16369.1</v>
      </c>
      <c r="Q301">
        <v>18332</v>
      </c>
      <c r="R301">
        <v>908.9</v>
      </c>
      <c r="S301">
        <v>20.169435581472111</v>
      </c>
      <c r="T301">
        <v>2845.7</v>
      </c>
      <c r="U301">
        <v>0.31940000000000002</v>
      </c>
    </row>
    <row r="302" spans="1:21" x14ac:dyDescent="0.3">
      <c r="A302" t="s">
        <v>1240</v>
      </c>
      <c r="B302" t="s">
        <v>1241</v>
      </c>
      <c r="C302" t="s">
        <v>20</v>
      </c>
      <c r="D302" t="s">
        <v>1242</v>
      </c>
      <c r="E302" t="s">
        <v>22</v>
      </c>
      <c r="F302" t="s">
        <v>28</v>
      </c>
      <c r="G302">
        <v>0</v>
      </c>
      <c r="H302">
        <v>19300</v>
      </c>
      <c r="J302" t="s">
        <v>1243</v>
      </c>
      <c r="K302">
        <v>0</v>
      </c>
      <c r="L302">
        <v>1980</v>
      </c>
      <c r="M302">
        <v>46</v>
      </c>
      <c r="N302" t="s">
        <v>2569</v>
      </c>
      <c r="O302" t="s">
        <v>2927</v>
      </c>
      <c r="P302">
        <v>70681.8</v>
      </c>
      <c r="Q302">
        <v>86990.8</v>
      </c>
      <c r="R302">
        <v>5597</v>
      </c>
      <c r="S302">
        <v>15.542397713060568</v>
      </c>
      <c r="T302">
        <v>12180</v>
      </c>
      <c r="U302">
        <v>0.45950000000000002</v>
      </c>
    </row>
    <row r="303" spans="1:21" x14ac:dyDescent="0.3">
      <c r="A303" t="s">
        <v>1244</v>
      </c>
      <c r="B303" t="s">
        <v>1245</v>
      </c>
      <c r="C303" t="s">
        <v>41</v>
      </c>
      <c r="D303" t="s">
        <v>1246</v>
      </c>
      <c r="E303" t="s">
        <v>22</v>
      </c>
      <c r="F303" t="s">
        <v>53</v>
      </c>
      <c r="G303">
        <v>1</v>
      </c>
      <c r="H303">
        <v>23800</v>
      </c>
      <c r="J303" t="s">
        <v>1247</v>
      </c>
      <c r="K303">
        <v>0</v>
      </c>
      <c r="L303">
        <v>1889</v>
      </c>
      <c r="M303">
        <v>137</v>
      </c>
      <c r="N303" t="s">
        <v>2571</v>
      </c>
      <c r="O303" t="s">
        <v>2927</v>
      </c>
      <c r="P303">
        <v>26590.1</v>
      </c>
      <c r="Q303" t="s">
        <v>91</v>
      </c>
      <c r="R303">
        <v>0</v>
      </c>
      <c r="S303" t="e">
        <v>#VALUE!</v>
      </c>
      <c r="T303">
        <v>8093.9</v>
      </c>
      <c r="U303">
        <v>0</v>
      </c>
    </row>
    <row r="304" spans="1:21" x14ac:dyDescent="0.3">
      <c r="A304" t="s">
        <v>1248</v>
      </c>
      <c r="B304" t="s">
        <v>1249</v>
      </c>
      <c r="C304" t="s">
        <v>20</v>
      </c>
      <c r="D304" t="s">
        <v>1250</v>
      </c>
      <c r="E304" t="s">
        <v>22</v>
      </c>
      <c r="F304" t="s">
        <v>28</v>
      </c>
      <c r="G304">
        <v>0</v>
      </c>
      <c r="H304">
        <v>95000</v>
      </c>
      <c r="I304" t="s">
        <v>1251</v>
      </c>
      <c r="J304" t="s">
        <v>1251</v>
      </c>
      <c r="K304">
        <v>1</v>
      </c>
      <c r="L304">
        <v>1939</v>
      </c>
      <c r="M304">
        <v>87</v>
      </c>
      <c r="N304" t="s">
        <v>2573</v>
      </c>
      <c r="O304" t="s">
        <v>2927</v>
      </c>
      <c r="P304">
        <v>102805.2</v>
      </c>
      <c r="Q304">
        <v>115803.2</v>
      </c>
      <c r="R304">
        <v>6820</v>
      </c>
      <c r="S304">
        <v>16.979941348973608</v>
      </c>
      <c r="T304">
        <v>41954</v>
      </c>
      <c r="U304">
        <v>0.16259999999999999</v>
      </c>
    </row>
    <row r="305" spans="1:21" x14ac:dyDescent="0.3">
      <c r="A305" t="s">
        <v>1252</v>
      </c>
      <c r="B305" t="s">
        <v>1253</v>
      </c>
      <c r="C305" t="s">
        <v>20</v>
      </c>
      <c r="D305" t="s">
        <v>1254</v>
      </c>
      <c r="E305" t="s">
        <v>22</v>
      </c>
      <c r="F305" t="s">
        <v>67</v>
      </c>
      <c r="G305">
        <v>0</v>
      </c>
      <c r="H305">
        <v>41700</v>
      </c>
      <c r="J305" t="s">
        <v>1255</v>
      </c>
      <c r="K305">
        <v>0</v>
      </c>
      <c r="L305">
        <v>1966</v>
      </c>
      <c r="M305">
        <v>60</v>
      </c>
      <c r="N305" t="s">
        <v>2575</v>
      </c>
      <c r="O305" t="s">
        <v>2927</v>
      </c>
      <c r="P305">
        <v>11285.8</v>
      </c>
      <c r="Q305">
        <v>26464.400000000001</v>
      </c>
      <c r="R305">
        <v>2542.9</v>
      </c>
      <c r="S305">
        <v>10.407172912816076</v>
      </c>
      <c r="T305">
        <v>9692.6</v>
      </c>
      <c r="U305">
        <v>0.26240000000000002</v>
      </c>
    </row>
    <row r="306" spans="1:21" x14ac:dyDescent="0.3">
      <c r="A306" t="s">
        <v>1256</v>
      </c>
      <c r="B306" t="s">
        <v>1257</v>
      </c>
      <c r="C306" t="s">
        <v>20</v>
      </c>
      <c r="D306" t="s">
        <v>1258</v>
      </c>
      <c r="E306" t="s">
        <v>22</v>
      </c>
      <c r="F306" t="s">
        <v>89</v>
      </c>
      <c r="G306">
        <v>0</v>
      </c>
      <c r="H306">
        <v>16702</v>
      </c>
      <c r="J306" t="s">
        <v>1259</v>
      </c>
      <c r="K306">
        <v>0</v>
      </c>
      <c r="L306">
        <v>1989</v>
      </c>
      <c r="M306">
        <v>37</v>
      </c>
      <c r="N306" t="s">
        <v>2577</v>
      </c>
      <c r="O306" t="s">
        <v>2927</v>
      </c>
      <c r="P306">
        <v>38418.699999999997</v>
      </c>
      <c r="Q306">
        <v>50986.7</v>
      </c>
      <c r="R306">
        <v>2966</v>
      </c>
      <c r="S306">
        <v>17.190391099123399</v>
      </c>
      <c r="T306">
        <v>30713</v>
      </c>
      <c r="U306">
        <v>9.6600000000000005E-2</v>
      </c>
    </row>
    <row r="307" spans="1:21" x14ac:dyDescent="0.3">
      <c r="A307" t="s">
        <v>1260</v>
      </c>
      <c r="B307" t="s">
        <v>1261</v>
      </c>
      <c r="C307" t="s">
        <v>20</v>
      </c>
      <c r="D307" t="s">
        <v>1262</v>
      </c>
      <c r="E307" t="s">
        <v>22</v>
      </c>
      <c r="F307" t="s">
        <v>62</v>
      </c>
      <c r="G307">
        <v>0</v>
      </c>
      <c r="H307">
        <v>33000</v>
      </c>
      <c r="J307" t="s">
        <v>1263</v>
      </c>
      <c r="K307">
        <v>0</v>
      </c>
      <c r="L307">
        <v>1905</v>
      </c>
      <c r="M307">
        <v>121</v>
      </c>
      <c r="N307" t="s">
        <v>2579</v>
      </c>
      <c r="O307" t="s">
        <v>2927</v>
      </c>
      <c r="P307">
        <v>40288.800000000003</v>
      </c>
      <c r="Q307">
        <v>46026.8</v>
      </c>
      <c r="R307">
        <v>4139</v>
      </c>
      <c r="S307">
        <v>11.120270596762504</v>
      </c>
      <c r="T307">
        <v>32494</v>
      </c>
      <c r="U307">
        <v>0.12740000000000001</v>
      </c>
    </row>
    <row r="308" spans="1:21" x14ac:dyDescent="0.3">
      <c r="A308" t="s">
        <v>1264</v>
      </c>
      <c r="B308" t="s">
        <v>1265</v>
      </c>
      <c r="C308" t="s">
        <v>41</v>
      </c>
      <c r="D308" t="s">
        <v>1266</v>
      </c>
      <c r="E308" t="s">
        <v>22</v>
      </c>
      <c r="F308" t="s">
        <v>43</v>
      </c>
      <c r="G308">
        <v>0</v>
      </c>
      <c r="H308">
        <v>42000</v>
      </c>
      <c r="J308" t="s">
        <v>1267</v>
      </c>
      <c r="K308">
        <v>0</v>
      </c>
      <c r="L308">
        <v>1993</v>
      </c>
      <c r="M308">
        <v>33</v>
      </c>
      <c r="N308" t="s">
        <v>2581</v>
      </c>
      <c r="O308" t="s">
        <v>2928</v>
      </c>
      <c r="P308">
        <v>4305008.2</v>
      </c>
      <c r="Q308">
        <v>4253864.2</v>
      </c>
      <c r="R308">
        <v>133230</v>
      </c>
      <c r="S308">
        <v>31.928726262853711</v>
      </c>
      <c r="T308">
        <v>215938</v>
      </c>
      <c r="U308">
        <v>0.61699999999999999</v>
      </c>
    </row>
    <row r="309" spans="1:21" x14ac:dyDescent="0.3">
      <c r="A309" t="s">
        <v>1268</v>
      </c>
      <c r="B309" t="s">
        <v>1269</v>
      </c>
      <c r="C309" t="s">
        <v>20</v>
      </c>
      <c r="D309" t="s">
        <v>1270</v>
      </c>
      <c r="E309" t="s">
        <v>22</v>
      </c>
      <c r="F309" t="s">
        <v>67</v>
      </c>
      <c r="G309">
        <v>0</v>
      </c>
      <c r="H309">
        <v>6300</v>
      </c>
      <c r="J309" t="s">
        <v>1271</v>
      </c>
      <c r="K309">
        <v>0</v>
      </c>
      <c r="L309">
        <v>1948</v>
      </c>
      <c r="M309">
        <v>78</v>
      </c>
      <c r="N309" t="s">
        <v>2583</v>
      </c>
      <c r="O309" t="s">
        <v>2927</v>
      </c>
      <c r="P309">
        <v>21002.9</v>
      </c>
      <c r="Q309">
        <v>20214.400000000001</v>
      </c>
      <c r="R309">
        <v>1814</v>
      </c>
      <c r="S309">
        <v>11.143550165380375</v>
      </c>
      <c r="T309">
        <v>10438.1</v>
      </c>
      <c r="U309">
        <v>0.17380000000000001</v>
      </c>
    </row>
    <row r="310" spans="1:21" x14ac:dyDescent="0.3">
      <c r="A310" t="s">
        <v>1272</v>
      </c>
      <c r="B310" t="s">
        <v>1273</v>
      </c>
      <c r="C310" t="s">
        <v>41</v>
      </c>
      <c r="D310" t="s">
        <v>1274</v>
      </c>
      <c r="E310" t="s">
        <v>22</v>
      </c>
      <c r="F310" t="s">
        <v>67</v>
      </c>
      <c r="G310">
        <v>0</v>
      </c>
      <c r="H310">
        <v>93072</v>
      </c>
      <c r="J310" t="s">
        <v>1275</v>
      </c>
      <c r="K310">
        <v>0</v>
      </c>
      <c r="L310">
        <v>1957</v>
      </c>
      <c r="M310">
        <v>69</v>
      </c>
      <c r="N310" t="s">
        <v>2585</v>
      </c>
      <c r="O310" t="s">
        <v>2927</v>
      </c>
      <c r="P310">
        <v>78717.2</v>
      </c>
      <c r="Q310">
        <v>86947</v>
      </c>
      <c r="R310">
        <v>3971.8</v>
      </c>
      <c r="S310">
        <v>21.891082129009515</v>
      </c>
      <c r="T310">
        <v>17782</v>
      </c>
      <c r="U310">
        <v>0.22339999999999999</v>
      </c>
    </row>
    <row r="311" spans="1:21" x14ac:dyDescent="0.3">
      <c r="A311" t="s">
        <v>1276</v>
      </c>
      <c r="B311" t="s">
        <v>1277</v>
      </c>
      <c r="C311" t="s">
        <v>20</v>
      </c>
      <c r="D311" t="s">
        <v>1278</v>
      </c>
      <c r="E311" t="s">
        <v>22</v>
      </c>
      <c r="F311" t="s">
        <v>153</v>
      </c>
      <c r="G311">
        <v>0</v>
      </c>
      <c r="H311">
        <v>10412</v>
      </c>
      <c r="I311" t="s">
        <v>1279</v>
      </c>
      <c r="J311" t="s">
        <v>1279</v>
      </c>
      <c r="K311">
        <v>1</v>
      </c>
      <c r="L311">
        <v>1920</v>
      </c>
      <c r="M311">
        <v>106</v>
      </c>
      <c r="N311" t="s">
        <v>2587</v>
      </c>
      <c r="O311" t="s">
        <v>2927</v>
      </c>
      <c r="P311">
        <v>52351</v>
      </c>
      <c r="Q311">
        <v>82585</v>
      </c>
      <c r="R311">
        <v>11255</v>
      </c>
      <c r="S311">
        <v>7.3376277210128835</v>
      </c>
      <c r="T311">
        <v>21593</v>
      </c>
      <c r="U311">
        <v>0.5212</v>
      </c>
    </row>
    <row r="312" spans="1:21" x14ac:dyDescent="0.3">
      <c r="A312" t="s">
        <v>1280</v>
      </c>
      <c r="B312" t="s">
        <v>1281</v>
      </c>
      <c r="C312" t="s">
        <v>41</v>
      </c>
      <c r="D312" t="s">
        <v>1282</v>
      </c>
      <c r="E312" t="s">
        <v>22</v>
      </c>
      <c r="F312" t="s">
        <v>28</v>
      </c>
      <c r="G312">
        <v>0</v>
      </c>
      <c r="H312">
        <v>20591</v>
      </c>
      <c r="I312" t="s">
        <v>1283</v>
      </c>
      <c r="J312" t="s">
        <v>1283</v>
      </c>
      <c r="K312">
        <v>1</v>
      </c>
      <c r="L312">
        <v>1934</v>
      </c>
      <c r="M312">
        <v>92</v>
      </c>
      <c r="N312" t="s">
        <v>2589</v>
      </c>
      <c r="O312" t="s">
        <v>2927</v>
      </c>
      <c r="P312">
        <v>42320.800000000003</v>
      </c>
      <c r="Q312">
        <v>42342.1</v>
      </c>
      <c r="R312">
        <v>1725.7</v>
      </c>
      <c r="S312">
        <v>24.536188213478585</v>
      </c>
      <c r="T312">
        <v>5496.4</v>
      </c>
      <c r="U312">
        <v>0.314</v>
      </c>
    </row>
    <row r="313" spans="1:21" x14ac:dyDescent="0.3">
      <c r="A313" t="s">
        <v>1284</v>
      </c>
      <c r="B313" t="s">
        <v>1285</v>
      </c>
      <c r="C313" t="s">
        <v>20</v>
      </c>
      <c r="D313" t="s">
        <v>1286</v>
      </c>
      <c r="E313" t="s">
        <v>22</v>
      </c>
      <c r="F313" t="s">
        <v>95</v>
      </c>
      <c r="G313">
        <v>0</v>
      </c>
      <c r="H313">
        <v>120000</v>
      </c>
      <c r="J313" t="s">
        <v>1287</v>
      </c>
      <c r="K313">
        <v>0</v>
      </c>
      <c r="L313">
        <v>1944</v>
      </c>
      <c r="M313">
        <v>82</v>
      </c>
      <c r="N313" t="s">
        <v>2591</v>
      </c>
      <c r="O313" t="s">
        <v>2927</v>
      </c>
      <c r="P313">
        <v>26468.6</v>
      </c>
      <c r="Q313">
        <v>31866.3</v>
      </c>
      <c r="R313">
        <v>2793.3</v>
      </c>
      <c r="S313">
        <v>11.4081194286328</v>
      </c>
      <c r="T313">
        <v>17271.900000000001</v>
      </c>
      <c r="U313">
        <v>0.16170000000000001</v>
      </c>
    </row>
    <row r="314" spans="1:21" x14ac:dyDescent="0.3">
      <c r="A314" t="s">
        <v>1288</v>
      </c>
      <c r="B314" t="s">
        <v>1289</v>
      </c>
      <c r="C314" t="s">
        <v>41</v>
      </c>
      <c r="D314" t="s">
        <v>1290</v>
      </c>
      <c r="E314" t="s">
        <v>22</v>
      </c>
      <c r="F314" t="s">
        <v>43</v>
      </c>
      <c r="G314">
        <v>0</v>
      </c>
      <c r="H314">
        <v>22635</v>
      </c>
      <c r="J314" t="s">
        <v>1291</v>
      </c>
      <c r="K314">
        <v>0</v>
      </c>
      <c r="L314">
        <v>1992</v>
      </c>
      <c r="M314">
        <v>34</v>
      </c>
      <c r="N314" t="s">
        <v>2593</v>
      </c>
      <c r="O314" t="s">
        <v>2927</v>
      </c>
      <c r="P314">
        <v>26194.5</v>
      </c>
      <c r="Q314">
        <v>26918.7</v>
      </c>
      <c r="R314">
        <v>1755.5</v>
      </c>
      <c r="S314">
        <v>15.333921959555683</v>
      </c>
      <c r="T314">
        <v>5995.4</v>
      </c>
      <c r="U314">
        <v>0.2928</v>
      </c>
    </row>
    <row r="315" spans="1:21" x14ac:dyDescent="0.3">
      <c r="A315" t="s">
        <v>1292</v>
      </c>
      <c r="B315" t="s">
        <v>1293</v>
      </c>
      <c r="C315" t="s">
        <v>20</v>
      </c>
      <c r="D315" t="s">
        <v>1294</v>
      </c>
      <c r="E315" t="s">
        <v>22</v>
      </c>
      <c r="F315" t="s">
        <v>153</v>
      </c>
      <c r="G315">
        <v>0</v>
      </c>
      <c r="H315">
        <v>6326</v>
      </c>
      <c r="J315" t="s">
        <v>1295</v>
      </c>
      <c r="K315">
        <v>0</v>
      </c>
      <c r="L315">
        <v>1906</v>
      </c>
      <c r="M315">
        <v>120</v>
      </c>
      <c r="N315" t="s">
        <v>2595</v>
      </c>
      <c r="O315" t="s">
        <v>2927</v>
      </c>
      <c r="P315">
        <v>52127.199999999997</v>
      </c>
      <c r="Q315">
        <v>85186.2</v>
      </c>
      <c r="R315">
        <v>7336</v>
      </c>
      <c r="S315">
        <v>11.612077426390403</v>
      </c>
      <c r="T315">
        <v>33629</v>
      </c>
      <c r="U315">
        <v>0.21809999999999999</v>
      </c>
    </row>
    <row r="316" spans="1:21" x14ac:dyDescent="0.3">
      <c r="A316" t="s">
        <v>1296</v>
      </c>
      <c r="B316" t="s">
        <v>1297</v>
      </c>
      <c r="C316" t="s">
        <v>20</v>
      </c>
      <c r="D316" t="s">
        <v>1298</v>
      </c>
      <c r="E316" t="s">
        <v>22</v>
      </c>
      <c r="F316" t="s">
        <v>43</v>
      </c>
      <c r="G316">
        <v>0</v>
      </c>
      <c r="H316">
        <v>162000</v>
      </c>
      <c r="I316" t="s">
        <v>1299</v>
      </c>
      <c r="J316" t="s">
        <v>1299</v>
      </c>
      <c r="K316">
        <v>1</v>
      </c>
      <c r="L316">
        <v>1977</v>
      </c>
      <c r="M316">
        <v>49</v>
      </c>
      <c r="N316" t="s">
        <v>2597</v>
      </c>
      <c r="O316" t="s">
        <v>2927</v>
      </c>
      <c r="P316">
        <v>417892.8</v>
      </c>
      <c r="Q316">
        <v>530362.80000000005</v>
      </c>
      <c r="R316">
        <v>26266</v>
      </c>
      <c r="S316">
        <v>20.191989644407219</v>
      </c>
      <c r="T316">
        <v>61016</v>
      </c>
      <c r="U316">
        <v>0.43049999999999999</v>
      </c>
    </row>
    <row r="317" spans="1:21" x14ac:dyDescent="0.3">
      <c r="A317" t="s">
        <v>1300</v>
      </c>
      <c r="B317" t="s">
        <v>1301</v>
      </c>
      <c r="C317" t="s">
        <v>20</v>
      </c>
      <c r="D317" t="s">
        <v>1302</v>
      </c>
      <c r="E317" t="s">
        <v>22</v>
      </c>
      <c r="F317" t="s">
        <v>28</v>
      </c>
      <c r="G317">
        <v>0</v>
      </c>
      <c r="H317">
        <v>72000</v>
      </c>
      <c r="I317" t="s">
        <v>1303</v>
      </c>
      <c r="J317" t="s">
        <v>1303</v>
      </c>
      <c r="K317">
        <v>1</v>
      </c>
      <c r="L317">
        <v>1853</v>
      </c>
      <c r="M317">
        <v>173</v>
      </c>
      <c r="N317" t="s">
        <v>2599</v>
      </c>
      <c r="O317" t="s">
        <v>2927</v>
      </c>
      <c r="P317">
        <v>35980</v>
      </c>
      <c r="Q317">
        <v>43516</v>
      </c>
      <c r="R317">
        <v>2551</v>
      </c>
      <c r="S317">
        <v>17.058408467267739</v>
      </c>
      <c r="T317">
        <v>14431</v>
      </c>
      <c r="U317">
        <v>0.17680000000000001</v>
      </c>
    </row>
    <row r="318" spans="1:21" x14ac:dyDescent="0.3">
      <c r="A318" t="s">
        <v>1304</v>
      </c>
      <c r="B318" t="s">
        <v>1305</v>
      </c>
      <c r="C318" t="s">
        <v>41</v>
      </c>
      <c r="D318" t="s">
        <v>1306</v>
      </c>
      <c r="E318" t="s">
        <v>22</v>
      </c>
      <c r="F318" t="s">
        <v>28</v>
      </c>
      <c r="G318">
        <v>0</v>
      </c>
      <c r="H318">
        <v>25900</v>
      </c>
      <c r="J318" t="s">
        <v>1307</v>
      </c>
      <c r="K318">
        <v>0</v>
      </c>
      <c r="L318">
        <v>1905</v>
      </c>
      <c r="M318">
        <v>121</v>
      </c>
      <c r="N318" t="s">
        <v>2601</v>
      </c>
      <c r="O318" t="s">
        <v>2927</v>
      </c>
      <c r="P318">
        <v>66310</v>
      </c>
      <c r="Q318">
        <v>72840.7</v>
      </c>
      <c r="R318">
        <v>3423</v>
      </c>
      <c r="S318">
        <v>21.279783815366638</v>
      </c>
      <c r="T318">
        <v>28444.799999999999</v>
      </c>
      <c r="U318">
        <v>0.1203</v>
      </c>
    </row>
    <row r="319" spans="1:21" x14ac:dyDescent="0.3">
      <c r="A319" t="s">
        <v>1308</v>
      </c>
      <c r="B319" t="s">
        <v>1309</v>
      </c>
      <c r="C319" t="s">
        <v>20</v>
      </c>
      <c r="D319" t="s">
        <v>1310</v>
      </c>
      <c r="E319" t="s">
        <v>22</v>
      </c>
      <c r="F319" t="s">
        <v>62</v>
      </c>
      <c r="G319">
        <v>0</v>
      </c>
      <c r="H319">
        <v>16800</v>
      </c>
      <c r="J319" t="s">
        <v>1311</v>
      </c>
      <c r="K319">
        <v>0</v>
      </c>
      <c r="L319">
        <v>1867</v>
      </c>
      <c r="M319">
        <v>159</v>
      </c>
      <c r="N319" t="s">
        <v>2603</v>
      </c>
      <c r="O319" t="s">
        <v>2927</v>
      </c>
      <c r="P319">
        <v>20570.5</v>
      </c>
      <c r="Q319">
        <v>24267.599999999999</v>
      </c>
      <c r="R319">
        <v>1900</v>
      </c>
      <c r="S319">
        <v>12.772421052631579</v>
      </c>
      <c r="T319">
        <v>8989.2999999999993</v>
      </c>
      <c r="U319">
        <v>0.2114</v>
      </c>
    </row>
    <row r="320" spans="1:21" x14ac:dyDescent="0.3">
      <c r="A320" t="s">
        <v>1312</v>
      </c>
      <c r="B320" t="s">
        <v>1313</v>
      </c>
      <c r="C320" t="s">
        <v>41</v>
      </c>
      <c r="D320" t="s">
        <v>1314</v>
      </c>
      <c r="E320" t="s">
        <v>22</v>
      </c>
      <c r="F320" t="s">
        <v>43</v>
      </c>
      <c r="G320">
        <v>0</v>
      </c>
      <c r="H320">
        <v>4429</v>
      </c>
      <c r="J320" t="s">
        <v>1315</v>
      </c>
      <c r="K320">
        <v>0</v>
      </c>
      <c r="L320">
        <v>2003</v>
      </c>
      <c r="M320">
        <v>23</v>
      </c>
      <c r="N320" t="s">
        <v>2605</v>
      </c>
      <c r="O320" t="s">
        <v>2927</v>
      </c>
      <c r="P320">
        <v>328114</v>
      </c>
      <c r="Q320">
        <v>321267</v>
      </c>
      <c r="R320">
        <v>1440.2</v>
      </c>
      <c r="S320">
        <v>223.07110123593944</v>
      </c>
      <c r="T320">
        <v>4475.3999999999996</v>
      </c>
      <c r="U320">
        <v>0.32179999999999997</v>
      </c>
    </row>
    <row r="321" spans="1:21" x14ac:dyDescent="0.3">
      <c r="A321" t="s">
        <v>1316</v>
      </c>
      <c r="B321" t="s">
        <v>1317</v>
      </c>
      <c r="C321" t="s">
        <v>41</v>
      </c>
      <c r="D321" t="s">
        <v>1318</v>
      </c>
      <c r="E321" t="s">
        <v>22</v>
      </c>
      <c r="F321" t="s">
        <v>43</v>
      </c>
      <c r="G321">
        <v>0</v>
      </c>
      <c r="H321">
        <v>17027</v>
      </c>
      <c r="J321" t="s">
        <v>1319</v>
      </c>
      <c r="K321">
        <v>0</v>
      </c>
      <c r="L321">
        <v>2005</v>
      </c>
      <c r="M321">
        <v>21</v>
      </c>
      <c r="N321" t="s">
        <v>2607</v>
      </c>
      <c r="O321" t="s">
        <v>2928</v>
      </c>
      <c r="P321">
        <v>121518.7</v>
      </c>
      <c r="Q321">
        <v>117441.7</v>
      </c>
      <c r="R321">
        <v>1449.5</v>
      </c>
      <c r="S321">
        <v>81.022214556743705</v>
      </c>
      <c r="T321">
        <v>9893.5</v>
      </c>
      <c r="U321">
        <v>0.14649999999999999</v>
      </c>
    </row>
    <row r="322" spans="1:21" x14ac:dyDescent="0.3">
      <c r="A322" t="s">
        <v>1320</v>
      </c>
      <c r="B322" t="s">
        <v>1321</v>
      </c>
      <c r="C322" t="s">
        <v>41</v>
      </c>
      <c r="D322" t="s">
        <v>1322</v>
      </c>
      <c r="E322" t="s">
        <v>22</v>
      </c>
      <c r="F322" t="s">
        <v>95</v>
      </c>
      <c r="G322">
        <v>0</v>
      </c>
      <c r="H322">
        <v>17600</v>
      </c>
      <c r="J322" t="s">
        <v>1323</v>
      </c>
      <c r="K322">
        <v>0</v>
      </c>
      <c r="L322">
        <v>1914</v>
      </c>
      <c r="M322">
        <v>112</v>
      </c>
      <c r="N322" t="s">
        <v>2609</v>
      </c>
      <c r="O322" t="s">
        <v>2927</v>
      </c>
      <c r="P322">
        <v>15232.4</v>
      </c>
      <c r="Q322">
        <v>28244.400000000001</v>
      </c>
      <c r="R322">
        <v>2681</v>
      </c>
      <c r="S322">
        <v>10.53502424468482</v>
      </c>
      <c r="T322">
        <v>28891</v>
      </c>
      <c r="U322">
        <v>9.2799999999999994E-2</v>
      </c>
    </row>
    <row r="323" spans="1:21" x14ac:dyDescent="0.3">
      <c r="A323" t="s">
        <v>1324</v>
      </c>
      <c r="B323" t="s">
        <v>1325</v>
      </c>
      <c r="C323" t="s">
        <v>20</v>
      </c>
      <c r="D323" t="s">
        <v>1326</v>
      </c>
      <c r="E323" t="s">
        <v>22</v>
      </c>
      <c r="F323" t="s">
        <v>28</v>
      </c>
      <c r="G323">
        <v>0</v>
      </c>
      <c r="H323">
        <v>57950</v>
      </c>
      <c r="I323" t="s">
        <v>1327</v>
      </c>
      <c r="J323" t="s">
        <v>1327</v>
      </c>
      <c r="K323">
        <v>1</v>
      </c>
      <c r="L323">
        <v>1917</v>
      </c>
      <c r="M323">
        <v>109</v>
      </c>
      <c r="N323" t="s">
        <v>2611</v>
      </c>
      <c r="O323" t="s">
        <v>2927</v>
      </c>
      <c r="P323">
        <v>127375.2</v>
      </c>
      <c r="Q323">
        <v>136827.20000000001</v>
      </c>
      <c r="R323">
        <v>5358</v>
      </c>
      <c r="S323">
        <v>25.536991414706982</v>
      </c>
      <c r="T323">
        <v>20461</v>
      </c>
      <c r="U323">
        <v>0.26190000000000002</v>
      </c>
    </row>
    <row r="324" spans="1:21" x14ac:dyDescent="0.3">
      <c r="A324" t="s">
        <v>1328</v>
      </c>
      <c r="B324" t="s">
        <v>1329</v>
      </c>
      <c r="C324" t="s">
        <v>41</v>
      </c>
      <c r="D324" t="s">
        <v>1330</v>
      </c>
      <c r="E324" t="s">
        <v>22</v>
      </c>
      <c r="F324" t="s">
        <v>28</v>
      </c>
      <c r="G324">
        <v>0</v>
      </c>
      <c r="H324">
        <v>19000</v>
      </c>
      <c r="J324" t="s">
        <v>1331</v>
      </c>
      <c r="K324">
        <v>0</v>
      </c>
      <c r="L324">
        <v>1971</v>
      </c>
      <c r="M324">
        <v>55</v>
      </c>
      <c r="N324" t="s">
        <v>2613</v>
      </c>
      <c r="O324" t="s">
        <v>2927</v>
      </c>
      <c r="P324">
        <v>33617.300000000003</v>
      </c>
      <c r="Q324">
        <v>37131</v>
      </c>
      <c r="R324">
        <v>2867.4</v>
      </c>
      <c r="S324">
        <v>12.9493617911697</v>
      </c>
      <c r="T324">
        <v>6033.9</v>
      </c>
      <c r="U324">
        <v>0.47520000000000001</v>
      </c>
    </row>
    <row r="325" spans="1:21" x14ac:dyDescent="0.3">
      <c r="A325" t="s">
        <v>1332</v>
      </c>
      <c r="B325" t="s">
        <v>1333</v>
      </c>
      <c r="C325" t="s">
        <v>20</v>
      </c>
      <c r="D325" t="s">
        <v>1334</v>
      </c>
      <c r="E325" t="s">
        <v>22</v>
      </c>
      <c r="F325" t="s">
        <v>28</v>
      </c>
      <c r="G325">
        <v>0</v>
      </c>
      <c r="H325">
        <v>5770</v>
      </c>
      <c r="J325" t="s">
        <v>1335</v>
      </c>
      <c r="K325">
        <v>0</v>
      </c>
      <c r="L325">
        <v>1998</v>
      </c>
      <c r="M325">
        <v>28</v>
      </c>
      <c r="N325" t="s">
        <v>2929</v>
      </c>
      <c r="O325" t="s">
        <v>2927</v>
      </c>
      <c r="P325">
        <v>6689.3</v>
      </c>
      <c r="Q325">
        <v>6409.6</v>
      </c>
      <c r="R325">
        <v>634.5</v>
      </c>
      <c r="S325">
        <v>10.101812450748621</v>
      </c>
      <c r="T325">
        <v>2051.6999999999998</v>
      </c>
      <c r="U325">
        <v>0.30930000000000002</v>
      </c>
    </row>
    <row r="326" spans="1:21" x14ac:dyDescent="0.3">
      <c r="A326" t="s">
        <v>1336</v>
      </c>
      <c r="B326" t="s">
        <v>1337</v>
      </c>
      <c r="C326" t="s">
        <v>41</v>
      </c>
      <c r="D326" t="s">
        <v>1338</v>
      </c>
      <c r="E326" t="s">
        <v>22</v>
      </c>
      <c r="F326" t="s">
        <v>53</v>
      </c>
      <c r="G326">
        <v>1</v>
      </c>
      <c r="H326">
        <v>23800</v>
      </c>
      <c r="J326" t="s">
        <v>1339</v>
      </c>
      <c r="K326">
        <v>0</v>
      </c>
      <c r="L326">
        <v>1998</v>
      </c>
      <c r="M326">
        <v>28</v>
      </c>
      <c r="N326" t="s">
        <v>2615</v>
      </c>
      <c r="O326" t="s">
        <v>2928</v>
      </c>
      <c r="P326">
        <v>42543.9</v>
      </c>
      <c r="Q326">
        <v>44417.9</v>
      </c>
      <c r="R326">
        <v>6649</v>
      </c>
      <c r="S326">
        <v>6.6803880282749288</v>
      </c>
      <c r="T326">
        <v>33172</v>
      </c>
      <c r="U326">
        <v>0.20039999999999999</v>
      </c>
    </row>
    <row r="327" spans="1:21" x14ac:dyDescent="0.3">
      <c r="A327" t="s">
        <v>1340</v>
      </c>
      <c r="B327" t="s">
        <v>1341</v>
      </c>
      <c r="C327" t="s">
        <v>41</v>
      </c>
      <c r="D327" t="s">
        <v>1342</v>
      </c>
      <c r="E327" t="s">
        <v>22</v>
      </c>
      <c r="F327" t="s">
        <v>100</v>
      </c>
      <c r="G327">
        <v>0</v>
      </c>
      <c r="H327">
        <v>306000</v>
      </c>
      <c r="J327" t="s">
        <v>1343</v>
      </c>
      <c r="K327">
        <v>0</v>
      </c>
      <c r="L327">
        <v>1898</v>
      </c>
      <c r="M327">
        <v>128</v>
      </c>
      <c r="N327" t="s">
        <v>2617</v>
      </c>
      <c r="O327" t="s">
        <v>2927</v>
      </c>
      <c r="P327">
        <v>231975</v>
      </c>
      <c r="Q327">
        <v>275614</v>
      </c>
      <c r="R327">
        <v>18174</v>
      </c>
      <c r="S327">
        <v>15.165291075162321</v>
      </c>
      <c r="T327">
        <v>93925</v>
      </c>
      <c r="U327">
        <v>0.19350000000000001</v>
      </c>
    </row>
    <row r="328" spans="1:21" x14ac:dyDescent="0.3">
      <c r="A328" t="s">
        <v>1344</v>
      </c>
      <c r="B328" t="s">
        <v>1345</v>
      </c>
      <c r="C328" t="s">
        <v>20</v>
      </c>
      <c r="D328" t="s">
        <v>1346</v>
      </c>
      <c r="E328" t="s">
        <v>22</v>
      </c>
      <c r="F328" t="s">
        <v>33</v>
      </c>
      <c r="G328">
        <v>0</v>
      </c>
      <c r="H328">
        <v>75000</v>
      </c>
      <c r="J328" t="s">
        <v>1347</v>
      </c>
      <c r="K328">
        <v>0</v>
      </c>
      <c r="L328">
        <v>1849</v>
      </c>
      <c r="M328">
        <v>177</v>
      </c>
      <c r="N328" t="s">
        <v>2619</v>
      </c>
      <c r="O328" t="s">
        <v>2927</v>
      </c>
      <c r="P328">
        <v>157225.29999999999</v>
      </c>
      <c r="Q328">
        <v>211575.3</v>
      </c>
      <c r="R328">
        <v>25718</v>
      </c>
      <c r="S328">
        <v>8.2267400264406252</v>
      </c>
      <c r="T328">
        <v>62579</v>
      </c>
      <c r="U328">
        <v>0.41099999999999998</v>
      </c>
    </row>
    <row r="329" spans="1:21" x14ac:dyDescent="0.3">
      <c r="A329" t="s">
        <v>1348</v>
      </c>
      <c r="B329" t="s">
        <v>1349</v>
      </c>
      <c r="C329" t="s">
        <v>20</v>
      </c>
      <c r="D329" t="s">
        <v>1350</v>
      </c>
      <c r="E329" t="s">
        <v>22</v>
      </c>
      <c r="F329" t="s">
        <v>89</v>
      </c>
      <c r="G329">
        <v>0</v>
      </c>
      <c r="H329">
        <v>29010</v>
      </c>
      <c r="I329" t="s">
        <v>1351</v>
      </c>
      <c r="J329" t="s">
        <v>1351</v>
      </c>
      <c r="K329">
        <v>1</v>
      </c>
      <c r="L329">
        <v>1905</v>
      </c>
      <c r="M329">
        <v>121</v>
      </c>
      <c r="N329" t="s">
        <v>2621</v>
      </c>
      <c r="O329" t="s">
        <v>2928</v>
      </c>
      <c r="P329">
        <v>41761.4</v>
      </c>
      <c r="Q329">
        <v>104214.39999999999</v>
      </c>
      <c r="R329">
        <v>9979</v>
      </c>
      <c r="S329">
        <v>10.443371079266459</v>
      </c>
      <c r="T329">
        <v>24935</v>
      </c>
      <c r="U329">
        <v>0.4002</v>
      </c>
    </row>
    <row r="330" spans="1:21" x14ac:dyDescent="0.3">
      <c r="A330" t="s">
        <v>1352</v>
      </c>
      <c r="B330" t="s">
        <v>1353</v>
      </c>
      <c r="C330" t="s">
        <v>20</v>
      </c>
      <c r="D330" t="s">
        <v>1354</v>
      </c>
      <c r="E330" t="s">
        <v>22</v>
      </c>
      <c r="F330" t="s">
        <v>100</v>
      </c>
      <c r="G330">
        <v>0</v>
      </c>
      <c r="H330">
        <v>84900</v>
      </c>
      <c r="J330" t="s">
        <v>1355</v>
      </c>
      <c r="K330">
        <v>0</v>
      </c>
      <c r="L330">
        <v>1987</v>
      </c>
      <c r="M330">
        <v>39</v>
      </c>
      <c r="N330" t="s">
        <v>2623</v>
      </c>
      <c r="O330" t="s">
        <v>2927</v>
      </c>
      <c r="P330">
        <v>290834.40000000002</v>
      </c>
      <c r="Q330">
        <v>337523.4</v>
      </c>
      <c r="R330">
        <v>18722</v>
      </c>
      <c r="S330">
        <v>18.028170067300504</v>
      </c>
      <c r="T330">
        <v>40648</v>
      </c>
      <c r="U330">
        <v>0.46060000000000001</v>
      </c>
    </row>
    <row r="331" spans="1:21" x14ac:dyDescent="0.3">
      <c r="A331" t="s">
        <v>1356</v>
      </c>
      <c r="B331" t="s">
        <v>1357</v>
      </c>
      <c r="C331" t="s">
        <v>20</v>
      </c>
      <c r="D331" t="s">
        <v>1358</v>
      </c>
      <c r="E331" t="s">
        <v>22</v>
      </c>
      <c r="F331" t="s">
        <v>153</v>
      </c>
      <c r="G331">
        <v>0</v>
      </c>
      <c r="H331">
        <v>12600</v>
      </c>
      <c r="J331" t="s">
        <v>1359</v>
      </c>
      <c r="K331">
        <v>0</v>
      </c>
      <c r="L331">
        <v>1875</v>
      </c>
      <c r="M331">
        <v>151</v>
      </c>
      <c r="N331" t="s">
        <v>2625</v>
      </c>
      <c r="O331" t="s">
        <v>2927</v>
      </c>
      <c r="P331">
        <v>61846.8</v>
      </c>
      <c r="Q331">
        <v>83464.800000000003</v>
      </c>
      <c r="R331">
        <v>6672</v>
      </c>
      <c r="S331">
        <v>12.509712230215827</v>
      </c>
      <c r="T331">
        <v>132376</v>
      </c>
      <c r="U331">
        <v>5.04E-2</v>
      </c>
    </row>
    <row r="332" spans="1:21" x14ac:dyDescent="0.3">
      <c r="A332" t="s">
        <v>1360</v>
      </c>
      <c r="B332" t="s">
        <v>1361</v>
      </c>
      <c r="C332" t="s">
        <v>20</v>
      </c>
      <c r="D332" t="s">
        <v>1362</v>
      </c>
      <c r="E332" t="s">
        <v>22</v>
      </c>
      <c r="F332" t="s">
        <v>89</v>
      </c>
      <c r="G332">
        <v>0</v>
      </c>
      <c r="H332">
        <v>6403</v>
      </c>
      <c r="J332" t="s">
        <v>1363</v>
      </c>
      <c r="K332">
        <v>0</v>
      </c>
      <c r="L332">
        <v>1985</v>
      </c>
      <c r="M332">
        <v>41</v>
      </c>
      <c r="N332" t="s">
        <v>2627</v>
      </c>
      <c r="O332" t="s">
        <v>2927</v>
      </c>
      <c r="P332">
        <v>12126.8</v>
      </c>
      <c r="Q332">
        <v>26385.599999999999</v>
      </c>
      <c r="R332">
        <v>2029.1</v>
      </c>
      <c r="S332">
        <v>13.003597654132374</v>
      </c>
      <c r="T332">
        <v>5307.2</v>
      </c>
      <c r="U332">
        <v>0.38229999999999997</v>
      </c>
    </row>
    <row r="333" spans="1:21" x14ac:dyDescent="0.3">
      <c r="A333" t="s">
        <v>1364</v>
      </c>
      <c r="B333" t="s">
        <v>1365</v>
      </c>
      <c r="C333" t="s">
        <v>41</v>
      </c>
      <c r="D333" t="s">
        <v>1366</v>
      </c>
      <c r="E333" t="s">
        <v>22</v>
      </c>
      <c r="F333" t="s">
        <v>67</v>
      </c>
      <c r="G333">
        <v>0</v>
      </c>
      <c r="H333">
        <v>6000</v>
      </c>
      <c r="J333" t="s">
        <v>1367</v>
      </c>
      <c r="K333">
        <v>0</v>
      </c>
      <c r="L333">
        <v>1993</v>
      </c>
      <c r="M333">
        <v>33</v>
      </c>
      <c r="N333" t="s">
        <v>2629</v>
      </c>
      <c r="O333" t="s">
        <v>2927</v>
      </c>
      <c r="P333">
        <v>8357.5</v>
      </c>
      <c r="Q333">
        <v>9787.5</v>
      </c>
      <c r="R333">
        <v>631.20000000000005</v>
      </c>
      <c r="S333">
        <v>15.506178707224333</v>
      </c>
      <c r="T333">
        <v>5289.4</v>
      </c>
      <c r="U333">
        <v>0.1193</v>
      </c>
    </row>
    <row r="334" spans="1:21" x14ac:dyDescent="0.3">
      <c r="A334" t="s">
        <v>1368</v>
      </c>
      <c r="B334" t="s">
        <v>1369</v>
      </c>
      <c r="C334" t="s">
        <v>20</v>
      </c>
      <c r="D334" t="s">
        <v>1370</v>
      </c>
      <c r="E334" t="s">
        <v>22</v>
      </c>
      <c r="F334" t="s">
        <v>62</v>
      </c>
      <c r="G334">
        <v>0</v>
      </c>
      <c r="H334">
        <v>43500</v>
      </c>
      <c r="J334" t="s">
        <v>1371</v>
      </c>
      <c r="K334">
        <v>0</v>
      </c>
      <c r="L334">
        <v>1883</v>
      </c>
      <c r="M334">
        <v>143</v>
      </c>
      <c r="N334" t="s">
        <v>2631</v>
      </c>
      <c r="O334" t="s">
        <v>2927</v>
      </c>
      <c r="P334">
        <v>27550.2</v>
      </c>
      <c r="Q334">
        <v>33389.199999999997</v>
      </c>
      <c r="R334">
        <v>2652</v>
      </c>
      <c r="S334">
        <v>12.590196078431372</v>
      </c>
      <c r="T334">
        <v>15875</v>
      </c>
      <c r="U334">
        <v>0.1671</v>
      </c>
    </row>
    <row r="335" spans="1:21" x14ac:dyDescent="0.3">
      <c r="A335" t="s">
        <v>1372</v>
      </c>
      <c r="B335" t="s">
        <v>1373</v>
      </c>
      <c r="C335" t="s">
        <v>20</v>
      </c>
      <c r="D335" t="s">
        <v>1374</v>
      </c>
      <c r="E335" t="s">
        <v>22</v>
      </c>
      <c r="F335" t="s">
        <v>89</v>
      </c>
      <c r="G335">
        <v>0</v>
      </c>
      <c r="H335">
        <v>6546</v>
      </c>
      <c r="J335" t="s">
        <v>1375</v>
      </c>
      <c r="K335">
        <v>0</v>
      </c>
      <c r="L335">
        <v>1920</v>
      </c>
      <c r="M335">
        <v>106</v>
      </c>
      <c r="N335" t="s">
        <v>2633</v>
      </c>
      <c r="O335" t="s">
        <v>2927</v>
      </c>
      <c r="P335">
        <v>29285.9</v>
      </c>
      <c r="Q335">
        <v>47730.9</v>
      </c>
      <c r="R335">
        <v>3545</v>
      </c>
      <c r="S335">
        <v>13.464287729196052</v>
      </c>
      <c r="T335">
        <v>9042</v>
      </c>
      <c r="U335">
        <v>0.3921</v>
      </c>
    </row>
    <row r="336" spans="1:21" x14ac:dyDescent="0.3">
      <c r="A336" t="s">
        <v>1376</v>
      </c>
      <c r="B336" t="s">
        <v>1377</v>
      </c>
      <c r="C336" t="s">
        <v>41</v>
      </c>
      <c r="D336" t="s">
        <v>1378</v>
      </c>
      <c r="E336" t="s">
        <v>22</v>
      </c>
      <c r="F336" t="s">
        <v>53</v>
      </c>
      <c r="G336">
        <v>1</v>
      </c>
      <c r="H336">
        <v>19700</v>
      </c>
      <c r="I336" t="s">
        <v>1379</v>
      </c>
      <c r="J336" t="s">
        <v>1379</v>
      </c>
      <c r="K336">
        <v>1</v>
      </c>
      <c r="L336">
        <v>1879</v>
      </c>
      <c r="M336">
        <v>147</v>
      </c>
      <c r="N336" t="s">
        <v>2635</v>
      </c>
      <c r="O336" t="s">
        <v>2927</v>
      </c>
      <c r="P336">
        <v>20690.400000000001</v>
      </c>
      <c r="Q336">
        <v>21093.200000000001</v>
      </c>
      <c r="R336">
        <v>1730.5</v>
      </c>
      <c r="S336">
        <v>12.189078301069056</v>
      </c>
      <c r="T336">
        <v>15625.5</v>
      </c>
      <c r="U336">
        <v>0.11070000000000001</v>
      </c>
    </row>
    <row r="337" spans="1:21" x14ac:dyDescent="0.3">
      <c r="A337" t="s">
        <v>1380</v>
      </c>
      <c r="B337" t="s">
        <v>1381</v>
      </c>
      <c r="C337" t="s">
        <v>20</v>
      </c>
      <c r="D337" t="s">
        <v>1382</v>
      </c>
      <c r="E337" t="s">
        <v>22</v>
      </c>
      <c r="F337" t="s">
        <v>80</v>
      </c>
      <c r="G337">
        <v>0</v>
      </c>
      <c r="H337">
        <v>2802</v>
      </c>
      <c r="J337" t="s">
        <v>1383</v>
      </c>
      <c r="K337">
        <v>0</v>
      </c>
      <c r="L337">
        <v>1983</v>
      </c>
      <c r="M337">
        <v>43</v>
      </c>
      <c r="N337" t="s">
        <v>2637</v>
      </c>
      <c r="O337" t="s">
        <v>2928</v>
      </c>
      <c r="P337">
        <v>132527.20000000001</v>
      </c>
      <c r="Q337">
        <v>171685.4</v>
      </c>
      <c r="R337">
        <v>6442.9</v>
      </c>
      <c r="S337">
        <v>26.647224076114792</v>
      </c>
      <c r="T337">
        <v>9192.7000000000007</v>
      </c>
      <c r="U337">
        <v>0.70089999999999997</v>
      </c>
    </row>
    <row r="338" spans="1:21" x14ac:dyDescent="0.3">
      <c r="A338" t="s">
        <v>1384</v>
      </c>
      <c r="B338" t="s">
        <v>1385</v>
      </c>
      <c r="C338" t="s">
        <v>20</v>
      </c>
      <c r="D338" t="s">
        <v>1386</v>
      </c>
      <c r="E338" t="s">
        <v>22</v>
      </c>
      <c r="F338" t="s">
        <v>53</v>
      </c>
      <c r="G338">
        <v>1</v>
      </c>
      <c r="H338">
        <v>36607</v>
      </c>
      <c r="J338" t="s">
        <v>1387</v>
      </c>
      <c r="K338">
        <v>0</v>
      </c>
      <c r="L338">
        <v>1875</v>
      </c>
      <c r="M338">
        <v>151</v>
      </c>
      <c r="N338" t="s">
        <v>2639</v>
      </c>
      <c r="O338" t="s">
        <v>2927</v>
      </c>
      <c r="P338">
        <v>34226.400000000001</v>
      </c>
      <c r="Q338">
        <v>61949.4</v>
      </c>
      <c r="R338">
        <v>5243</v>
      </c>
      <c r="S338">
        <v>11.815639900820141</v>
      </c>
      <c r="T338">
        <v>61233</v>
      </c>
      <c r="U338">
        <v>8.5599999999999996E-2</v>
      </c>
    </row>
    <row r="339" spans="1:21" x14ac:dyDescent="0.3">
      <c r="A339" t="s">
        <v>1388</v>
      </c>
      <c r="B339" t="s">
        <v>1389</v>
      </c>
      <c r="C339" t="s">
        <v>41</v>
      </c>
      <c r="D339" t="s">
        <v>1390</v>
      </c>
      <c r="E339" t="s">
        <v>22</v>
      </c>
      <c r="F339" t="s">
        <v>43</v>
      </c>
      <c r="G339">
        <v>0</v>
      </c>
      <c r="H339">
        <v>7000</v>
      </c>
      <c r="J339" t="s">
        <v>1391</v>
      </c>
      <c r="K339">
        <v>0</v>
      </c>
      <c r="L339">
        <v>1985</v>
      </c>
      <c r="M339">
        <v>41</v>
      </c>
      <c r="N339" t="s">
        <v>2641</v>
      </c>
      <c r="O339" t="s">
        <v>2927</v>
      </c>
      <c r="P339">
        <v>18633.599999999999</v>
      </c>
      <c r="Q339">
        <v>19804.900000000001</v>
      </c>
      <c r="R339">
        <v>1226.2</v>
      </c>
      <c r="S339">
        <v>16.151443483934106</v>
      </c>
      <c r="T339">
        <v>2859.9</v>
      </c>
      <c r="U339">
        <v>0.42880000000000001</v>
      </c>
    </row>
    <row r="340" spans="1:21" x14ac:dyDescent="0.3">
      <c r="A340" t="s">
        <v>1392</v>
      </c>
      <c r="B340" t="s">
        <v>1393</v>
      </c>
      <c r="C340" t="s">
        <v>20</v>
      </c>
      <c r="D340" t="s">
        <v>1394</v>
      </c>
      <c r="E340" t="s">
        <v>22</v>
      </c>
      <c r="F340" t="s">
        <v>89</v>
      </c>
      <c r="G340">
        <v>0</v>
      </c>
      <c r="H340">
        <v>13047</v>
      </c>
      <c r="J340" t="s">
        <v>1395</v>
      </c>
      <c r="K340">
        <v>0</v>
      </c>
      <c r="L340">
        <v>1903</v>
      </c>
      <c r="M340">
        <v>123</v>
      </c>
      <c r="N340" t="s">
        <v>2643</v>
      </c>
      <c r="O340" t="s">
        <v>2927</v>
      </c>
      <c r="P340">
        <v>42926.5</v>
      </c>
      <c r="Q340">
        <v>67024.5</v>
      </c>
      <c r="R340">
        <v>4504</v>
      </c>
      <c r="S340">
        <v>14.881105683836589</v>
      </c>
      <c r="T340">
        <v>12168</v>
      </c>
      <c r="U340">
        <v>0.37019999999999997</v>
      </c>
    </row>
    <row r="341" spans="1:21" x14ac:dyDescent="0.3">
      <c r="A341" t="s">
        <v>1396</v>
      </c>
      <c r="B341" t="s">
        <v>1397</v>
      </c>
      <c r="C341" t="s">
        <v>20</v>
      </c>
      <c r="D341" t="s">
        <v>1398</v>
      </c>
      <c r="E341" t="s">
        <v>22</v>
      </c>
      <c r="F341" t="s">
        <v>80</v>
      </c>
      <c r="G341">
        <v>0</v>
      </c>
      <c r="H341">
        <v>5770</v>
      </c>
      <c r="J341" t="s">
        <v>1399</v>
      </c>
      <c r="K341">
        <v>0</v>
      </c>
      <c r="L341">
        <v>1972</v>
      </c>
      <c r="M341">
        <v>54</v>
      </c>
      <c r="N341" t="s">
        <v>2645</v>
      </c>
      <c r="O341" t="s">
        <v>2927</v>
      </c>
      <c r="P341">
        <v>53891</v>
      </c>
      <c r="Q341">
        <v>68270.5</v>
      </c>
      <c r="R341">
        <v>3406.7</v>
      </c>
      <c r="S341">
        <v>20.040068101094903</v>
      </c>
      <c r="T341">
        <v>4833.7</v>
      </c>
      <c r="U341">
        <v>0.70479999999999998</v>
      </c>
    </row>
    <row r="342" spans="1:21" x14ac:dyDescent="0.3">
      <c r="A342" t="s">
        <v>1400</v>
      </c>
      <c r="B342" t="s">
        <v>1401</v>
      </c>
      <c r="C342" t="s">
        <v>20</v>
      </c>
      <c r="D342" t="s">
        <v>1402</v>
      </c>
      <c r="E342" t="s">
        <v>22</v>
      </c>
      <c r="F342" t="s">
        <v>67</v>
      </c>
      <c r="G342">
        <v>0</v>
      </c>
      <c r="H342">
        <v>6506</v>
      </c>
      <c r="J342" t="s">
        <v>1403</v>
      </c>
      <c r="K342">
        <v>0</v>
      </c>
      <c r="L342">
        <v>1950</v>
      </c>
      <c r="M342">
        <v>76</v>
      </c>
      <c r="N342" t="s">
        <v>2647</v>
      </c>
      <c r="O342" t="s">
        <v>2927</v>
      </c>
      <c r="P342">
        <v>26361.8</v>
      </c>
      <c r="Q342">
        <v>26777.200000000001</v>
      </c>
      <c r="R342">
        <v>3111.2</v>
      </c>
      <c r="S342">
        <v>8.6067112368218055</v>
      </c>
      <c r="T342">
        <v>17312</v>
      </c>
      <c r="U342">
        <v>0.1797</v>
      </c>
    </row>
    <row r="343" spans="1:21" x14ac:dyDescent="0.3">
      <c r="A343" t="s">
        <v>1404</v>
      </c>
      <c r="B343" t="s">
        <v>1405</v>
      </c>
      <c r="C343" t="s">
        <v>20</v>
      </c>
      <c r="D343" t="s">
        <v>1406</v>
      </c>
      <c r="E343" t="s">
        <v>22</v>
      </c>
      <c r="F343" t="s">
        <v>43</v>
      </c>
      <c r="G343">
        <v>0</v>
      </c>
      <c r="H343" t="s">
        <v>91</v>
      </c>
      <c r="J343" t="s">
        <v>1407</v>
      </c>
      <c r="K343">
        <v>0</v>
      </c>
      <c r="L343">
        <v>2024</v>
      </c>
      <c r="M343">
        <v>2</v>
      </c>
      <c r="N343" t="s">
        <v>2649</v>
      </c>
      <c r="O343" t="s">
        <v>2927</v>
      </c>
      <c r="P343">
        <v>26576.400000000001</v>
      </c>
      <c r="Q343">
        <v>30459.4</v>
      </c>
      <c r="R343">
        <v>1397</v>
      </c>
      <c r="S343">
        <v>21.803435934144595</v>
      </c>
      <c r="T343">
        <v>4754</v>
      </c>
      <c r="U343">
        <v>0.29389999999999999</v>
      </c>
    </row>
    <row r="344" spans="1:21" x14ac:dyDescent="0.3">
      <c r="A344" t="s">
        <v>1408</v>
      </c>
      <c r="B344" t="s">
        <v>1409</v>
      </c>
      <c r="C344" t="s">
        <v>41</v>
      </c>
      <c r="D344" t="s">
        <v>1410</v>
      </c>
      <c r="E344" t="s">
        <v>22</v>
      </c>
      <c r="F344" t="s">
        <v>43</v>
      </c>
      <c r="G344">
        <v>0</v>
      </c>
      <c r="H344">
        <v>52000</v>
      </c>
      <c r="J344" t="s">
        <v>1411</v>
      </c>
      <c r="K344">
        <v>0</v>
      </c>
      <c r="L344">
        <v>1985</v>
      </c>
      <c r="M344">
        <v>41</v>
      </c>
      <c r="N344" t="s">
        <v>2651</v>
      </c>
      <c r="O344" t="s">
        <v>2928</v>
      </c>
      <c r="P344">
        <v>151898.1</v>
      </c>
      <c r="Q344">
        <v>154893.1</v>
      </c>
      <c r="R344">
        <v>13764</v>
      </c>
      <c r="S344">
        <v>11.253494623655914</v>
      </c>
      <c r="T344">
        <v>44867</v>
      </c>
      <c r="U344">
        <v>0.30680000000000002</v>
      </c>
    </row>
    <row r="345" spans="1:21" x14ac:dyDescent="0.3">
      <c r="A345" t="s">
        <v>1412</v>
      </c>
      <c r="B345" t="s">
        <v>1413</v>
      </c>
      <c r="C345" t="s">
        <v>20</v>
      </c>
      <c r="D345" t="s">
        <v>1414</v>
      </c>
      <c r="E345" t="s">
        <v>22</v>
      </c>
      <c r="F345" t="s">
        <v>28</v>
      </c>
      <c r="G345">
        <v>0</v>
      </c>
      <c r="H345">
        <v>69500</v>
      </c>
      <c r="J345" t="s">
        <v>1415</v>
      </c>
      <c r="K345">
        <v>0</v>
      </c>
      <c r="L345">
        <v>1997</v>
      </c>
      <c r="M345">
        <v>29</v>
      </c>
      <c r="N345" t="s">
        <v>2653</v>
      </c>
      <c r="O345" t="s">
        <v>2927</v>
      </c>
      <c r="P345">
        <v>84247.7</v>
      </c>
      <c r="Q345">
        <v>90316.800000000003</v>
      </c>
      <c r="R345">
        <v>2497.4</v>
      </c>
      <c r="S345">
        <v>36.164330904140307</v>
      </c>
      <c r="T345">
        <v>28479.7</v>
      </c>
      <c r="U345">
        <v>8.77E-2</v>
      </c>
    </row>
    <row r="346" spans="1:21" x14ac:dyDescent="0.3">
      <c r="A346" t="s">
        <v>1416</v>
      </c>
      <c r="B346" t="s">
        <v>1417</v>
      </c>
      <c r="C346" t="s">
        <v>20</v>
      </c>
      <c r="D346" t="s">
        <v>1418</v>
      </c>
      <c r="E346" t="s">
        <v>22</v>
      </c>
      <c r="F346" t="s">
        <v>33</v>
      </c>
      <c r="G346">
        <v>0</v>
      </c>
      <c r="H346">
        <v>57000</v>
      </c>
      <c r="J346" t="s">
        <v>1419</v>
      </c>
      <c r="K346">
        <v>0</v>
      </c>
      <c r="L346">
        <v>1967</v>
      </c>
      <c r="M346">
        <v>59</v>
      </c>
      <c r="N346" t="s">
        <v>2655</v>
      </c>
      <c r="O346" t="s">
        <v>2927</v>
      </c>
      <c r="P346">
        <v>23281.8</v>
      </c>
      <c r="Q346">
        <v>29562.799999999999</v>
      </c>
      <c r="R346">
        <v>2175</v>
      </c>
      <c r="S346">
        <v>13.592091954022989</v>
      </c>
      <c r="T346">
        <v>11035</v>
      </c>
      <c r="U346">
        <v>0.1971</v>
      </c>
    </row>
    <row r="347" spans="1:21" x14ac:dyDescent="0.3">
      <c r="A347" t="s">
        <v>1420</v>
      </c>
      <c r="B347" t="s">
        <v>1421</v>
      </c>
      <c r="C347" t="s">
        <v>20</v>
      </c>
      <c r="D347" t="s">
        <v>1422</v>
      </c>
      <c r="E347" t="s">
        <v>22</v>
      </c>
      <c r="F347" t="s">
        <v>67</v>
      </c>
      <c r="G347">
        <v>0</v>
      </c>
      <c r="H347">
        <v>19200</v>
      </c>
      <c r="J347" t="s">
        <v>1423</v>
      </c>
      <c r="K347">
        <v>0</v>
      </c>
      <c r="L347">
        <v>1967</v>
      </c>
      <c r="M347">
        <v>59</v>
      </c>
      <c r="N347" t="s">
        <v>2657</v>
      </c>
      <c r="O347" t="s">
        <v>2927</v>
      </c>
      <c r="P347">
        <v>21950.5</v>
      </c>
      <c r="Q347">
        <v>22558.400000000001</v>
      </c>
      <c r="R347">
        <v>1367.3</v>
      </c>
      <c r="S347">
        <v>16.498500694799972</v>
      </c>
      <c r="T347">
        <v>7833.1</v>
      </c>
      <c r="U347">
        <v>0.17460000000000001</v>
      </c>
    </row>
    <row r="348" spans="1:21" x14ac:dyDescent="0.3">
      <c r="A348" t="s">
        <v>1424</v>
      </c>
      <c r="B348" t="s">
        <v>1425</v>
      </c>
      <c r="C348" t="s">
        <v>20</v>
      </c>
      <c r="D348" t="s">
        <v>1426</v>
      </c>
      <c r="E348" t="s">
        <v>22</v>
      </c>
      <c r="F348" t="s">
        <v>53</v>
      </c>
      <c r="G348">
        <v>1</v>
      </c>
      <c r="H348">
        <v>19500</v>
      </c>
      <c r="J348" t="s">
        <v>1427</v>
      </c>
      <c r="K348">
        <v>0</v>
      </c>
      <c r="L348">
        <v>1962</v>
      </c>
      <c r="M348">
        <v>64</v>
      </c>
      <c r="N348" t="s">
        <v>2659</v>
      </c>
      <c r="O348" t="s">
        <v>2927</v>
      </c>
      <c r="P348">
        <v>30170.7</v>
      </c>
      <c r="Q348" t="s">
        <v>91</v>
      </c>
      <c r="R348">
        <v>0</v>
      </c>
      <c r="S348" t="e">
        <v>#VALUE!</v>
      </c>
      <c r="T348">
        <v>14216</v>
      </c>
      <c r="U348">
        <v>0</v>
      </c>
    </row>
    <row r="349" spans="1:21" x14ac:dyDescent="0.3">
      <c r="A349" t="s">
        <v>1428</v>
      </c>
      <c r="B349" t="s">
        <v>1429</v>
      </c>
      <c r="C349" t="s">
        <v>20</v>
      </c>
      <c r="D349" t="s">
        <v>1430</v>
      </c>
      <c r="E349" t="s">
        <v>22</v>
      </c>
      <c r="F349" t="s">
        <v>80</v>
      </c>
      <c r="G349">
        <v>0</v>
      </c>
      <c r="H349">
        <v>544</v>
      </c>
      <c r="J349" t="s">
        <v>1431</v>
      </c>
      <c r="K349">
        <v>0</v>
      </c>
      <c r="L349">
        <v>1969</v>
      </c>
      <c r="M349">
        <v>57</v>
      </c>
      <c r="N349" t="s">
        <v>2661</v>
      </c>
      <c r="O349" t="s">
        <v>2928</v>
      </c>
      <c r="P349">
        <v>62473.5</v>
      </c>
      <c r="Q349">
        <v>92211.8</v>
      </c>
      <c r="R349">
        <v>5113.5</v>
      </c>
      <c r="S349">
        <v>18.033010658061993</v>
      </c>
      <c r="T349">
        <v>5762.7</v>
      </c>
      <c r="U349">
        <v>0.88729999999999998</v>
      </c>
    </row>
    <row r="350" spans="1:21" x14ac:dyDescent="0.3">
      <c r="A350" t="s">
        <v>1432</v>
      </c>
      <c r="B350" t="s">
        <v>1433</v>
      </c>
      <c r="C350" t="s">
        <v>41</v>
      </c>
      <c r="D350" t="s">
        <v>1434</v>
      </c>
      <c r="E350" t="s">
        <v>22</v>
      </c>
      <c r="F350" t="s">
        <v>80</v>
      </c>
      <c r="G350">
        <v>0</v>
      </c>
      <c r="H350">
        <v>505</v>
      </c>
      <c r="I350" t="s">
        <v>1435</v>
      </c>
      <c r="J350" t="s">
        <v>1435</v>
      </c>
      <c r="K350">
        <v>1</v>
      </c>
      <c r="L350">
        <v>1963</v>
      </c>
      <c r="M350">
        <v>63</v>
      </c>
      <c r="N350" t="s">
        <v>2663</v>
      </c>
      <c r="O350" t="s">
        <v>2927</v>
      </c>
      <c r="P350">
        <v>14410.6</v>
      </c>
      <c r="Q350">
        <v>19782.099999999999</v>
      </c>
      <c r="R350">
        <v>1023.3</v>
      </c>
      <c r="S350">
        <v>19.331672041434572</v>
      </c>
      <c r="T350">
        <v>1611</v>
      </c>
      <c r="U350">
        <v>0.63519999999999999</v>
      </c>
    </row>
    <row r="351" spans="1:21" x14ac:dyDescent="0.3">
      <c r="A351" t="s">
        <v>1436</v>
      </c>
      <c r="B351" t="s">
        <v>1437</v>
      </c>
      <c r="C351" t="s">
        <v>41</v>
      </c>
      <c r="D351" t="s">
        <v>1438</v>
      </c>
      <c r="E351" t="s">
        <v>22</v>
      </c>
      <c r="F351" t="s">
        <v>33</v>
      </c>
      <c r="G351">
        <v>0</v>
      </c>
      <c r="H351">
        <v>15410</v>
      </c>
      <c r="J351" t="s">
        <v>1439</v>
      </c>
      <c r="K351">
        <v>0</v>
      </c>
      <c r="L351">
        <v>1988</v>
      </c>
      <c r="M351">
        <v>38</v>
      </c>
      <c r="N351" t="s">
        <v>2665</v>
      </c>
      <c r="O351" t="s">
        <v>2927</v>
      </c>
      <c r="P351">
        <v>80214.8</v>
      </c>
      <c r="Q351">
        <v>64321.7</v>
      </c>
      <c r="R351">
        <v>4245.7</v>
      </c>
      <c r="S351">
        <v>15.149845726264219</v>
      </c>
      <c r="T351">
        <v>14342.9</v>
      </c>
      <c r="U351">
        <v>0.29599999999999999</v>
      </c>
    </row>
    <row r="352" spans="1:21" x14ac:dyDescent="0.3">
      <c r="A352" t="s">
        <v>1440</v>
      </c>
      <c r="B352" t="s">
        <v>1441</v>
      </c>
      <c r="C352" t="s">
        <v>20</v>
      </c>
      <c r="D352" t="s">
        <v>1442</v>
      </c>
      <c r="E352" t="s">
        <v>22</v>
      </c>
      <c r="F352" t="s">
        <v>53</v>
      </c>
      <c r="G352">
        <v>1</v>
      </c>
      <c r="H352">
        <v>19969</v>
      </c>
      <c r="J352" t="s">
        <v>1443</v>
      </c>
      <c r="K352">
        <v>0</v>
      </c>
      <c r="L352">
        <v>1971</v>
      </c>
      <c r="M352">
        <v>55</v>
      </c>
      <c r="N352" t="s">
        <v>2667</v>
      </c>
      <c r="O352" t="s">
        <v>2927</v>
      </c>
      <c r="P352">
        <v>24031.4</v>
      </c>
      <c r="Q352" t="s">
        <v>91</v>
      </c>
      <c r="R352">
        <v>0</v>
      </c>
      <c r="S352" t="e">
        <v>#VALUE!</v>
      </c>
      <c r="T352">
        <v>7056</v>
      </c>
      <c r="U352">
        <v>0</v>
      </c>
    </row>
    <row r="353" spans="1:21" x14ac:dyDescent="0.3">
      <c r="A353" t="s">
        <v>1444</v>
      </c>
      <c r="B353" t="s">
        <v>1445</v>
      </c>
      <c r="C353" t="s">
        <v>20</v>
      </c>
      <c r="D353" t="s">
        <v>1446</v>
      </c>
      <c r="E353" t="s">
        <v>22</v>
      </c>
      <c r="F353" t="s">
        <v>28</v>
      </c>
      <c r="G353">
        <v>0</v>
      </c>
      <c r="H353">
        <v>42000</v>
      </c>
      <c r="J353" t="s">
        <v>1447</v>
      </c>
      <c r="K353">
        <v>0</v>
      </c>
      <c r="L353">
        <v>1996</v>
      </c>
      <c r="M353">
        <v>30</v>
      </c>
      <c r="N353" t="s">
        <v>2669</v>
      </c>
      <c r="O353" t="s">
        <v>2927</v>
      </c>
      <c r="P353">
        <v>70716.3</v>
      </c>
      <c r="Q353">
        <v>84447.3</v>
      </c>
      <c r="R353">
        <v>5141</v>
      </c>
      <c r="S353">
        <v>16.426240031122351</v>
      </c>
      <c r="T353">
        <v>16591</v>
      </c>
      <c r="U353">
        <v>0.30990000000000001</v>
      </c>
    </row>
    <row r="354" spans="1:21" x14ac:dyDescent="0.3">
      <c r="A354" t="s">
        <v>1448</v>
      </c>
      <c r="B354" t="s">
        <v>1449</v>
      </c>
      <c r="C354" t="s">
        <v>20</v>
      </c>
      <c r="D354" t="s">
        <v>1450</v>
      </c>
      <c r="E354" t="s">
        <v>22</v>
      </c>
      <c r="F354" t="s">
        <v>33</v>
      </c>
      <c r="G354">
        <v>0</v>
      </c>
      <c r="H354">
        <v>10600</v>
      </c>
      <c r="J354" t="s">
        <v>1451</v>
      </c>
      <c r="K354">
        <v>0</v>
      </c>
      <c r="L354">
        <v>1989</v>
      </c>
      <c r="M354">
        <v>37</v>
      </c>
      <c r="N354" t="s">
        <v>2671</v>
      </c>
      <c r="O354" t="s">
        <v>2928</v>
      </c>
      <c r="P354">
        <v>37331.5</v>
      </c>
      <c r="Q354">
        <v>36762.199999999997</v>
      </c>
      <c r="R354">
        <v>2025</v>
      </c>
      <c r="S354">
        <v>18.15417283950617</v>
      </c>
      <c r="T354">
        <v>5398.1</v>
      </c>
      <c r="U354">
        <v>0.37509999999999999</v>
      </c>
    </row>
    <row r="355" spans="1:21" x14ac:dyDescent="0.3">
      <c r="A355" t="s">
        <v>1452</v>
      </c>
      <c r="B355" t="s">
        <v>1453</v>
      </c>
      <c r="C355" t="s">
        <v>20</v>
      </c>
      <c r="D355" t="s">
        <v>1454</v>
      </c>
      <c r="E355" t="s">
        <v>22</v>
      </c>
      <c r="F355" t="s">
        <v>33</v>
      </c>
      <c r="G355">
        <v>0</v>
      </c>
      <c r="H355">
        <v>11000</v>
      </c>
      <c r="J355" t="s">
        <v>1455</v>
      </c>
      <c r="K355">
        <v>0</v>
      </c>
      <c r="L355">
        <v>1937</v>
      </c>
      <c r="M355">
        <v>89</v>
      </c>
      <c r="N355" t="s">
        <v>2673</v>
      </c>
      <c r="O355" t="s">
        <v>2927</v>
      </c>
      <c r="P355">
        <v>10991</v>
      </c>
      <c r="Q355">
        <v>13441.5</v>
      </c>
      <c r="R355">
        <v>840.9</v>
      </c>
      <c r="S355">
        <v>15.984659293613985</v>
      </c>
      <c r="T355">
        <v>2856.1</v>
      </c>
      <c r="U355">
        <v>0.2944</v>
      </c>
    </row>
    <row r="356" spans="1:21" x14ac:dyDescent="0.3">
      <c r="A356" t="s">
        <v>1456</v>
      </c>
      <c r="B356" t="s">
        <v>1457</v>
      </c>
      <c r="C356" t="s">
        <v>41</v>
      </c>
      <c r="D356" t="s">
        <v>1458</v>
      </c>
      <c r="E356" t="s">
        <v>22</v>
      </c>
      <c r="F356" t="s">
        <v>53</v>
      </c>
      <c r="G356">
        <v>1</v>
      </c>
      <c r="H356">
        <v>2900</v>
      </c>
      <c r="J356" t="s">
        <v>1459</v>
      </c>
      <c r="K356">
        <v>0</v>
      </c>
      <c r="L356">
        <v>2013</v>
      </c>
      <c r="M356">
        <v>13</v>
      </c>
      <c r="N356" t="s">
        <v>2675</v>
      </c>
      <c r="O356" t="s">
        <v>2928</v>
      </c>
      <c r="P356">
        <v>68288.399999999994</v>
      </c>
      <c r="Q356" t="s">
        <v>91</v>
      </c>
      <c r="R356">
        <v>0</v>
      </c>
      <c r="S356" t="e">
        <v>#VALUE!</v>
      </c>
      <c r="T356">
        <v>4473</v>
      </c>
      <c r="U356">
        <v>0</v>
      </c>
    </row>
    <row r="357" spans="1:21" x14ac:dyDescent="0.3">
      <c r="A357" t="s">
        <v>1460</v>
      </c>
      <c r="B357" t="s">
        <v>1461</v>
      </c>
      <c r="C357" t="s">
        <v>20</v>
      </c>
      <c r="D357" t="s">
        <v>1462</v>
      </c>
      <c r="E357" t="s">
        <v>22</v>
      </c>
      <c r="F357" t="s">
        <v>28</v>
      </c>
      <c r="G357">
        <v>0</v>
      </c>
      <c r="H357">
        <v>26000</v>
      </c>
      <c r="J357" t="s">
        <v>1463</v>
      </c>
      <c r="K357">
        <v>0</v>
      </c>
      <c r="L357">
        <v>1903</v>
      </c>
      <c r="M357">
        <v>123</v>
      </c>
      <c r="N357" t="s">
        <v>2677</v>
      </c>
      <c r="O357" t="s">
        <v>2927</v>
      </c>
      <c r="P357">
        <v>45780.2</v>
      </c>
      <c r="Q357">
        <v>49163.199999999997</v>
      </c>
      <c r="R357">
        <v>1859</v>
      </c>
      <c r="S357">
        <v>26.446046261430876</v>
      </c>
      <c r="T357">
        <v>8566</v>
      </c>
      <c r="U357">
        <v>0.217</v>
      </c>
    </row>
    <row r="358" spans="1:21" x14ac:dyDescent="0.3">
      <c r="A358" t="s">
        <v>1464</v>
      </c>
      <c r="B358" t="s">
        <v>1465</v>
      </c>
      <c r="C358" t="s">
        <v>20</v>
      </c>
      <c r="D358" t="s">
        <v>1466</v>
      </c>
      <c r="E358" t="s">
        <v>22</v>
      </c>
      <c r="F358" t="s">
        <v>28</v>
      </c>
      <c r="G358">
        <v>0</v>
      </c>
      <c r="H358">
        <v>21946</v>
      </c>
      <c r="J358" t="s">
        <v>1467</v>
      </c>
      <c r="K358">
        <v>0</v>
      </c>
      <c r="L358">
        <v>1901</v>
      </c>
      <c r="M358">
        <v>125</v>
      </c>
      <c r="N358" t="s">
        <v>2679</v>
      </c>
      <c r="O358" t="s">
        <v>2927</v>
      </c>
      <c r="P358">
        <v>29293.7</v>
      </c>
      <c r="Q358">
        <v>30231.7</v>
      </c>
      <c r="R358">
        <v>854</v>
      </c>
      <c r="S358">
        <v>35.400117096018739</v>
      </c>
      <c r="T358">
        <v>3761.1</v>
      </c>
      <c r="U358">
        <v>0.2271</v>
      </c>
    </row>
    <row r="359" spans="1:21" x14ac:dyDescent="0.3">
      <c r="A359" t="s">
        <v>1468</v>
      </c>
      <c r="B359" t="s">
        <v>1469</v>
      </c>
      <c r="C359" t="s">
        <v>41</v>
      </c>
      <c r="D359" t="s">
        <v>1470</v>
      </c>
      <c r="E359" t="s">
        <v>22</v>
      </c>
      <c r="F359" t="s">
        <v>43</v>
      </c>
      <c r="G359">
        <v>0</v>
      </c>
      <c r="H359">
        <v>19400</v>
      </c>
      <c r="J359" t="s">
        <v>1471</v>
      </c>
      <c r="K359">
        <v>0</v>
      </c>
      <c r="L359">
        <v>1981</v>
      </c>
      <c r="M359">
        <v>45</v>
      </c>
      <c r="N359" t="s">
        <v>2681</v>
      </c>
      <c r="O359" t="s">
        <v>2927</v>
      </c>
      <c r="P359">
        <v>35996.800000000003</v>
      </c>
      <c r="Q359">
        <v>45233.9</v>
      </c>
      <c r="R359">
        <v>3133.6</v>
      </c>
      <c r="S359">
        <v>14.435122542762318</v>
      </c>
      <c r="T359">
        <v>7902.5</v>
      </c>
      <c r="U359">
        <v>0.39650000000000002</v>
      </c>
    </row>
    <row r="360" spans="1:21" x14ac:dyDescent="0.3">
      <c r="A360" t="s">
        <v>1472</v>
      </c>
      <c r="B360" t="s">
        <v>1473</v>
      </c>
      <c r="C360" t="s">
        <v>41</v>
      </c>
      <c r="D360" t="s">
        <v>1474</v>
      </c>
      <c r="E360" t="s">
        <v>22</v>
      </c>
      <c r="F360" t="s">
        <v>67</v>
      </c>
      <c r="G360">
        <v>0</v>
      </c>
      <c r="H360">
        <v>107000</v>
      </c>
      <c r="I360" t="s">
        <v>1475</v>
      </c>
      <c r="J360" t="s">
        <v>1475</v>
      </c>
      <c r="K360">
        <v>1</v>
      </c>
      <c r="L360">
        <v>1957</v>
      </c>
      <c r="M360">
        <v>69</v>
      </c>
      <c r="N360" t="s">
        <v>2683</v>
      </c>
      <c r="O360" t="s">
        <v>2928</v>
      </c>
      <c r="P360">
        <v>66513.2</v>
      </c>
      <c r="Q360">
        <v>67640.600000000006</v>
      </c>
      <c r="R360">
        <v>3116</v>
      </c>
      <c r="S360">
        <v>21.707509627727859</v>
      </c>
      <c r="T360">
        <v>22027.3</v>
      </c>
      <c r="U360">
        <v>0.14149999999999999</v>
      </c>
    </row>
    <row r="361" spans="1:21" x14ac:dyDescent="0.3">
      <c r="A361" t="s">
        <v>1476</v>
      </c>
      <c r="B361" t="s">
        <v>1477</v>
      </c>
      <c r="C361" t="s">
        <v>20</v>
      </c>
      <c r="D361" t="s">
        <v>1478</v>
      </c>
      <c r="E361" t="s">
        <v>22</v>
      </c>
      <c r="F361" t="s">
        <v>67</v>
      </c>
      <c r="G361">
        <v>0</v>
      </c>
      <c r="H361">
        <v>107975</v>
      </c>
      <c r="J361" t="s">
        <v>1479</v>
      </c>
      <c r="K361">
        <v>0</v>
      </c>
      <c r="L361">
        <v>1968</v>
      </c>
      <c r="M361">
        <v>58</v>
      </c>
      <c r="N361" t="s">
        <v>2685</v>
      </c>
      <c r="O361" t="s">
        <v>2927</v>
      </c>
      <c r="P361">
        <v>84123.5</v>
      </c>
      <c r="Q361">
        <v>105541.5</v>
      </c>
      <c r="R361">
        <v>6637</v>
      </c>
      <c r="S361">
        <v>15.90198885038421</v>
      </c>
      <c r="T361">
        <v>17935</v>
      </c>
      <c r="U361">
        <v>0.37009999999999998</v>
      </c>
    </row>
    <row r="362" spans="1:21" x14ac:dyDescent="0.3">
      <c r="A362" t="s">
        <v>1480</v>
      </c>
      <c r="B362" t="s">
        <v>1481</v>
      </c>
      <c r="C362" t="s">
        <v>20</v>
      </c>
      <c r="D362" t="s">
        <v>1482</v>
      </c>
      <c r="E362" t="s">
        <v>22</v>
      </c>
      <c r="F362" t="s">
        <v>28</v>
      </c>
      <c r="G362">
        <v>0</v>
      </c>
      <c r="H362">
        <v>180000</v>
      </c>
      <c r="J362" t="s">
        <v>1483</v>
      </c>
      <c r="K362">
        <v>0</v>
      </c>
      <c r="L362">
        <v>1934</v>
      </c>
      <c r="M362">
        <v>92</v>
      </c>
      <c r="N362" t="s">
        <v>2687</v>
      </c>
      <c r="O362" t="s">
        <v>2927</v>
      </c>
      <c r="P362">
        <v>271974.3</v>
      </c>
      <c r="Q362">
        <v>306388.3</v>
      </c>
      <c r="R362">
        <v>14735</v>
      </c>
      <c r="S362">
        <v>20.793233797081776</v>
      </c>
      <c r="T362">
        <v>88603</v>
      </c>
      <c r="U362">
        <v>0.1663</v>
      </c>
    </row>
    <row r="363" spans="1:21" x14ac:dyDescent="0.3">
      <c r="A363" t="s">
        <v>1484</v>
      </c>
      <c r="B363" t="s">
        <v>1485</v>
      </c>
      <c r="C363" t="s">
        <v>20</v>
      </c>
      <c r="D363" t="s">
        <v>1486</v>
      </c>
      <c r="E363" t="s">
        <v>22</v>
      </c>
      <c r="F363" t="s">
        <v>53</v>
      </c>
      <c r="G363">
        <v>1</v>
      </c>
      <c r="H363">
        <v>44500</v>
      </c>
      <c r="I363" t="s">
        <v>1487</v>
      </c>
      <c r="J363" t="s">
        <v>1487</v>
      </c>
      <c r="K363">
        <v>1</v>
      </c>
      <c r="L363">
        <v>1860</v>
      </c>
      <c r="M363">
        <v>166</v>
      </c>
      <c r="N363" t="s">
        <v>2689</v>
      </c>
      <c r="O363" t="s">
        <v>2927</v>
      </c>
      <c r="P363">
        <v>132023</v>
      </c>
      <c r="Q363">
        <v>148953</v>
      </c>
      <c r="R363">
        <v>7644</v>
      </c>
      <c r="S363">
        <v>19.486263736263737</v>
      </c>
      <c r="T363">
        <v>15336</v>
      </c>
      <c r="U363">
        <v>0.49840000000000001</v>
      </c>
    </row>
    <row r="364" spans="1:21" x14ac:dyDescent="0.3">
      <c r="A364" t="s">
        <v>1488</v>
      </c>
      <c r="B364" t="s">
        <v>1489</v>
      </c>
      <c r="C364" t="s">
        <v>20</v>
      </c>
      <c r="D364" t="s">
        <v>1490</v>
      </c>
      <c r="E364" t="s">
        <v>22</v>
      </c>
      <c r="F364" t="s">
        <v>43</v>
      </c>
      <c r="G364">
        <v>0</v>
      </c>
      <c r="H364">
        <v>76453</v>
      </c>
      <c r="J364" t="s">
        <v>1491</v>
      </c>
      <c r="K364">
        <v>0</v>
      </c>
      <c r="L364">
        <v>1999</v>
      </c>
      <c r="M364">
        <v>27</v>
      </c>
      <c r="N364" t="s">
        <v>2691</v>
      </c>
      <c r="O364" t="s">
        <v>2928</v>
      </c>
      <c r="P364">
        <v>182518.2</v>
      </c>
      <c r="Q364">
        <v>190129.2</v>
      </c>
      <c r="R364">
        <v>12548</v>
      </c>
      <c r="S364">
        <v>15.152151737328658</v>
      </c>
      <c r="T364">
        <v>41525</v>
      </c>
      <c r="U364">
        <v>0.30220000000000002</v>
      </c>
    </row>
    <row r="365" spans="1:21" x14ac:dyDescent="0.3">
      <c r="A365" t="s">
        <v>1492</v>
      </c>
      <c r="B365" t="s">
        <v>1493</v>
      </c>
      <c r="C365" t="s">
        <v>41</v>
      </c>
      <c r="D365" t="s">
        <v>1494</v>
      </c>
      <c r="E365" t="s">
        <v>22</v>
      </c>
      <c r="F365" t="s">
        <v>43</v>
      </c>
      <c r="G365">
        <v>0</v>
      </c>
      <c r="H365">
        <v>11000</v>
      </c>
      <c r="J365" t="s">
        <v>1495</v>
      </c>
      <c r="K365">
        <v>0</v>
      </c>
      <c r="L365">
        <v>2024</v>
      </c>
      <c r="M365">
        <v>2</v>
      </c>
      <c r="N365" t="s">
        <v>2693</v>
      </c>
      <c r="O365" t="s">
        <v>2928</v>
      </c>
      <c r="P365">
        <v>93779.8</v>
      </c>
      <c r="Q365">
        <v>93053.8</v>
      </c>
      <c r="R365">
        <v>1425</v>
      </c>
      <c r="S365">
        <v>65.300912280701752</v>
      </c>
      <c r="T365">
        <v>8929</v>
      </c>
      <c r="U365">
        <v>0.15959999999999999</v>
      </c>
    </row>
    <row r="366" spans="1:21" x14ac:dyDescent="0.3">
      <c r="A366" t="s">
        <v>1496</v>
      </c>
      <c r="B366" t="s">
        <v>1497</v>
      </c>
      <c r="C366" t="s">
        <v>41</v>
      </c>
      <c r="D366" t="s">
        <v>1498</v>
      </c>
      <c r="E366" t="s">
        <v>22</v>
      </c>
      <c r="F366" t="s">
        <v>80</v>
      </c>
      <c r="G366">
        <v>0</v>
      </c>
      <c r="H366">
        <v>1720</v>
      </c>
      <c r="J366" t="s">
        <v>1499</v>
      </c>
      <c r="K366">
        <v>0</v>
      </c>
      <c r="L366">
        <v>1989</v>
      </c>
      <c r="M366">
        <v>37</v>
      </c>
      <c r="N366" t="s">
        <v>2695</v>
      </c>
      <c r="O366" t="s">
        <v>2927</v>
      </c>
      <c r="P366">
        <v>21280.400000000001</v>
      </c>
      <c r="Q366">
        <v>36425.5</v>
      </c>
      <c r="R366">
        <v>1810.6</v>
      </c>
      <c r="S366">
        <v>20.117916712691926</v>
      </c>
      <c r="T366">
        <v>2815.1</v>
      </c>
      <c r="U366">
        <v>0.64319999999999999</v>
      </c>
    </row>
    <row r="367" spans="1:21" x14ac:dyDescent="0.3">
      <c r="A367" t="s">
        <v>1500</v>
      </c>
      <c r="B367" t="s">
        <v>1501</v>
      </c>
      <c r="C367" t="s">
        <v>20</v>
      </c>
      <c r="D367" t="s">
        <v>1502</v>
      </c>
      <c r="E367" t="s">
        <v>22</v>
      </c>
      <c r="F367" t="s">
        <v>89</v>
      </c>
      <c r="G367">
        <v>0</v>
      </c>
      <c r="H367">
        <v>16773</v>
      </c>
      <c r="J367" t="s">
        <v>1503</v>
      </c>
      <c r="K367">
        <v>0</v>
      </c>
      <c r="L367">
        <v>1996</v>
      </c>
      <c r="M367">
        <v>30</v>
      </c>
      <c r="N367" t="s">
        <v>2697</v>
      </c>
      <c r="O367" t="s">
        <v>2928</v>
      </c>
      <c r="P367">
        <v>62891.7</v>
      </c>
      <c r="Q367">
        <v>108288.7</v>
      </c>
      <c r="R367">
        <v>5501</v>
      </c>
      <c r="S367">
        <v>19.685275404471913</v>
      </c>
      <c r="T367">
        <v>13702</v>
      </c>
      <c r="U367">
        <v>0.40150000000000002</v>
      </c>
    </row>
    <row r="368" spans="1:21" x14ac:dyDescent="0.3">
      <c r="A368" t="s">
        <v>1504</v>
      </c>
      <c r="B368" t="s">
        <v>1505</v>
      </c>
      <c r="C368" t="s">
        <v>20</v>
      </c>
      <c r="D368" t="s">
        <v>1506</v>
      </c>
      <c r="E368" t="s">
        <v>22</v>
      </c>
      <c r="F368" t="s">
        <v>43</v>
      </c>
      <c r="G368">
        <v>0</v>
      </c>
      <c r="H368">
        <v>29187</v>
      </c>
      <c r="J368" t="s">
        <v>1507</v>
      </c>
      <c r="K368">
        <v>0</v>
      </c>
      <c r="L368">
        <v>2004</v>
      </c>
      <c r="M368">
        <v>22</v>
      </c>
      <c r="N368" t="s">
        <v>2699</v>
      </c>
      <c r="O368" t="s">
        <v>2928</v>
      </c>
      <c r="P368">
        <v>112978.5</v>
      </c>
      <c r="Q368">
        <v>105326.5</v>
      </c>
      <c r="R368">
        <v>2738</v>
      </c>
      <c r="S368">
        <v>38.468407596785973</v>
      </c>
      <c r="T368">
        <v>13278</v>
      </c>
      <c r="U368">
        <v>0.20619999999999999</v>
      </c>
    </row>
    <row r="369" spans="1:21" x14ac:dyDescent="0.3">
      <c r="A369" t="s">
        <v>1508</v>
      </c>
      <c r="B369" t="s">
        <v>1509</v>
      </c>
      <c r="C369" t="s">
        <v>20</v>
      </c>
      <c r="D369" t="s">
        <v>1510</v>
      </c>
      <c r="E369" t="s">
        <v>22</v>
      </c>
      <c r="F369" t="s">
        <v>80</v>
      </c>
      <c r="G369">
        <v>0</v>
      </c>
      <c r="H369">
        <v>3350</v>
      </c>
      <c r="J369" t="s">
        <v>1511</v>
      </c>
      <c r="K369">
        <v>0</v>
      </c>
      <c r="L369">
        <v>1960</v>
      </c>
      <c r="M369">
        <v>66</v>
      </c>
      <c r="N369" t="s">
        <v>2701</v>
      </c>
      <c r="O369" t="s">
        <v>2927</v>
      </c>
      <c r="P369">
        <v>66241.7</v>
      </c>
      <c r="Q369">
        <v>96155.7</v>
      </c>
      <c r="R369">
        <v>4703.6000000000004</v>
      </c>
      <c r="S369">
        <v>20.443001105536183</v>
      </c>
      <c r="T369">
        <v>6364.5</v>
      </c>
      <c r="U369">
        <v>0.73899999999999999</v>
      </c>
    </row>
    <row r="370" spans="1:21" x14ac:dyDescent="0.3">
      <c r="A370" t="s">
        <v>1512</v>
      </c>
      <c r="B370" t="s">
        <v>1513</v>
      </c>
      <c r="C370" t="s">
        <v>41</v>
      </c>
      <c r="D370" t="s">
        <v>1514</v>
      </c>
      <c r="E370" t="s">
        <v>22</v>
      </c>
      <c r="F370" t="s">
        <v>43</v>
      </c>
      <c r="G370">
        <v>0</v>
      </c>
      <c r="H370">
        <v>10000</v>
      </c>
      <c r="J370" t="s">
        <v>1515</v>
      </c>
      <c r="K370">
        <v>0</v>
      </c>
      <c r="L370">
        <v>1962</v>
      </c>
      <c r="M370">
        <v>64</v>
      </c>
      <c r="N370" t="s">
        <v>2703</v>
      </c>
      <c r="O370" t="s">
        <v>2928</v>
      </c>
      <c r="P370">
        <v>8959.2999999999993</v>
      </c>
      <c r="Q370">
        <v>8583.6</v>
      </c>
      <c r="R370">
        <v>945.7</v>
      </c>
      <c r="S370">
        <v>9.0764513059109646</v>
      </c>
      <c r="T370">
        <v>4053.8</v>
      </c>
      <c r="U370">
        <v>0.23330000000000001</v>
      </c>
    </row>
    <row r="371" spans="1:21" x14ac:dyDescent="0.3">
      <c r="A371" t="s">
        <v>1516</v>
      </c>
      <c r="B371" t="s">
        <v>1517</v>
      </c>
      <c r="C371" t="s">
        <v>20</v>
      </c>
      <c r="D371" t="s">
        <v>1518</v>
      </c>
      <c r="E371" t="s">
        <v>22</v>
      </c>
      <c r="F371" t="s">
        <v>153</v>
      </c>
      <c r="G371">
        <v>0</v>
      </c>
      <c r="H371">
        <v>109000</v>
      </c>
      <c r="J371" t="s">
        <v>1519</v>
      </c>
      <c r="K371">
        <v>0</v>
      </c>
      <c r="L371">
        <v>1926</v>
      </c>
      <c r="M371">
        <v>100</v>
      </c>
      <c r="N371" t="s">
        <v>2705</v>
      </c>
      <c r="O371" t="s">
        <v>2927</v>
      </c>
      <c r="P371">
        <v>77068.2</v>
      </c>
      <c r="Q371">
        <v>86492.2</v>
      </c>
      <c r="R371">
        <v>7733</v>
      </c>
      <c r="S371">
        <v>11.1848183111341</v>
      </c>
      <c r="T371">
        <v>35708</v>
      </c>
      <c r="U371">
        <v>0.21659999999999999</v>
      </c>
    </row>
    <row r="372" spans="1:21" x14ac:dyDescent="0.3">
      <c r="A372" t="s">
        <v>1520</v>
      </c>
      <c r="B372" t="s">
        <v>1521</v>
      </c>
      <c r="C372" t="s">
        <v>20</v>
      </c>
      <c r="D372" t="s">
        <v>1522</v>
      </c>
      <c r="E372" t="s">
        <v>22</v>
      </c>
      <c r="F372" t="s">
        <v>28</v>
      </c>
      <c r="G372">
        <v>0</v>
      </c>
      <c r="H372">
        <v>13000</v>
      </c>
      <c r="J372" t="s">
        <v>1523</v>
      </c>
      <c r="K372">
        <v>0</v>
      </c>
      <c r="L372">
        <v>1920</v>
      </c>
      <c r="M372">
        <v>106</v>
      </c>
      <c r="N372" t="s">
        <v>2707</v>
      </c>
      <c r="O372" t="s">
        <v>2927</v>
      </c>
      <c r="P372">
        <v>19998</v>
      </c>
      <c r="Q372">
        <v>19692.2</v>
      </c>
      <c r="R372">
        <v>1395.8</v>
      </c>
      <c r="S372">
        <v>14.108181687920906</v>
      </c>
      <c r="T372">
        <v>5156.1000000000004</v>
      </c>
      <c r="U372">
        <v>0.2707</v>
      </c>
    </row>
    <row r="373" spans="1:21" x14ac:dyDescent="0.3">
      <c r="A373" t="s">
        <v>1524</v>
      </c>
      <c r="B373" t="s">
        <v>1525</v>
      </c>
      <c r="C373" t="s">
        <v>20</v>
      </c>
      <c r="D373" t="s">
        <v>1526</v>
      </c>
      <c r="E373" t="s">
        <v>22</v>
      </c>
      <c r="F373" t="s">
        <v>33</v>
      </c>
      <c r="G373">
        <v>0</v>
      </c>
      <c r="H373">
        <v>22000</v>
      </c>
      <c r="J373" t="s">
        <v>1527</v>
      </c>
      <c r="K373">
        <v>0</v>
      </c>
      <c r="L373">
        <v>2023</v>
      </c>
      <c r="M373">
        <v>3</v>
      </c>
      <c r="N373" t="s">
        <v>2709</v>
      </c>
      <c r="O373" t="s">
        <v>2927</v>
      </c>
      <c r="P373">
        <v>12873.2</v>
      </c>
      <c r="Q373">
        <v>17243.2</v>
      </c>
      <c r="R373">
        <v>1114</v>
      </c>
      <c r="S373">
        <v>15.478635547576303</v>
      </c>
      <c r="T373">
        <v>8325</v>
      </c>
      <c r="U373">
        <v>0.1338</v>
      </c>
    </row>
    <row r="374" spans="1:21" x14ac:dyDescent="0.3">
      <c r="A374" t="s">
        <v>1528</v>
      </c>
      <c r="B374" t="s">
        <v>1529</v>
      </c>
      <c r="C374" t="s">
        <v>20</v>
      </c>
      <c r="D374" t="s">
        <v>1530</v>
      </c>
      <c r="E374" t="s">
        <v>22</v>
      </c>
      <c r="F374" t="s">
        <v>28</v>
      </c>
      <c r="G374">
        <v>0</v>
      </c>
      <c r="H374">
        <v>77397</v>
      </c>
      <c r="J374" t="s">
        <v>1531</v>
      </c>
      <c r="K374">
        <v>0</v>
      </c>
      <c r="L374">
        <v>1967</v>
      </c>
      <c r="M374">
        <v>59</v>
      </c>
      <c r="N374" t="s">
        <v>2711</v>
      </c>
      <c r="O374" t="s">
        <v>2927</v>
      </c>
      <c r="P374">
        <v>24202.3</v>
      </c>
      <c r="Q374">
        <v>26952.3</v>
      </c>
      <c r="R374">
        <v>1720</v>
      </c>
      <c r="S374">
        <v>15.669941860465116</v>
      </c>
      <c r="T374">
        <v>28063</v>
      </c>
      <c r="U374">
        <v>6.13E-2</v>
      </c>
    </row>
    <row r="375" spans="1:21" x14ac:dyDescent="0.3">
      <c r="A375" t="s">
        <v>1532</v>
      </c>
      <c r="B375" t="s">
        <v>1533</v>
      </c>
      <c r="C375" t="s">
        <v>20</v>
      </c>
      <c r="D375" t="s">
        <v>1534</v>
      </c>
      <c r="E375" t="s">
        <v>22</v>
      </c>
      <c r="F375" t="s">
        <v>28</v>
      </c>
      <c r="G375">
        <v>0</v>
      </c>
      <c r="H375">
        <v>43500</v>
      </c>
      <c r="J375" t="s">
        <v>1535</v>
      </c>
      <c r="K375">
        <v>0</v>
      </c>
      <c r="L375">
        <v>1843</v>
      </c>
      <c r="M375">
        <v>183</v>
      </c>
      <c r="N375" t="s">
        <v>2713</v>
      </c>
      <c r="O375" t="s">
        <v>2927</v>
      </c>
      <c r="P375">
        <v>13412.8</v>
      </c>
      <c r="Q375">
        <v>19473.099999999999</v>
      </c>
      <c r="R375">
        <v>1686.3</v>
      </c>
      <c r="S375">
        <v>11.547826602621123</v>
      </c>
      <c r="T375">
        <v>15130.4</v>
      </c>
      <c r="U375">
        <v>0.1115</v>
      </c>
    </row>
    <row r="376" spans="1:21" x14ac:dyDescent="0.3">
      <c r="A376" t="s">
        <v>1536</v>
      </c>
      <c r="B376" t="s">
        <v>1537</v>
      </c>
      <c r="C376" t="s">
        <v>41</v>
      </c>
      <c r="D376" t="s">
        <v>1538</v>
      </c>
      <c r="E376" t="s">
        <v>22</v>
      </c>
      <c r="F376" t="s">
        <v>67</v>
      </c>
      <c r="G376">
        <v>0</v>
      </c>
      <c r="H376">
        <v>381000</v>
      </c>
      <c r="J376" t="s">
        <v>1539</v>
      </c>
      <c r="K376">
        <v>0</v>
      </c>
      <c r="L376">
        <v>1971</v>
      </c>
      <c r="M376">
        <v>55</v>
      </c>
      <c r="N376" t="s">
        <v>2715</v>
      </c>
      <c r="O376" t="s">
        <v>2927</v>
      </c>
      <c r="P376">
        <v>111670.5</v>
      </c>
      <c r="Q376">
        <v>133567.79999999999</v>
      </c>
      <c r="R376">
        <v>5297.3</v>
      </c>
      <c r="S376">
        <v>25.21431672738942</v>
      </c>
      <c r="T376">
        <v>37701.699999999997</v>
      </c>
      <c r="U376">
        <v>0.14050000000000001</v>
      </c>
    </row>
    <row r="377" spans="1:21" x14ac:dyDescent="0.3">
      <c r="A377" t="s">
        <v>1540</v>
      </c>
      <c r="B377" t="s">
        <v>1541</v>
      </c>
      <c r="C377" t="s">
        <v>20</v>
      </c>
      <c r="D377" t="s">
        <v>1542</v>
      </c>
      <c r="E377" t="s">
        <v>22</v>
      </c>
      <c r="F377" t="s">
        <v>53</v>
      </c>
      <c r="G377">
        <v>1</v>
      </c>
      <c r="H377">
        <v>51503</v>
      </c>
      <c r="J377" t="s">
        <v>1543</v>
      </c>
      <c r="K377">
        <v>0</v>
      </c>
      <c r="L377">
        <v>1792</v>
      </c>
      <c r="M377">
        <v>234</v>
      </c>
      <c r="N377" t="s">
        <v>2717</v>
      </c>
      <c r="O377" t="s">
        <v>2927</v>
      </c>
      <c r="P377">
        <v>35850</v>
      </c>
      <c r="Q377" t="s">
        <v>91</v>
      </c>
      <c r="R377">
        <v>0</v>
      </c>
      <c r="S377" t="e">
        <v>#VALUE!</v>
      </c>
      <c r="T377">
        <v>13885</v>
      </c>
      <c r="U377">
        <v>0</v>
      </c>
    </row>
    <row r="378" spans="1:21" x14ac:dyDescent="0.3">
      <c r="A378" t="s">
        <v>1544</v>
      </c>
      <c r="B378" t="s">
        <v>1545</v>
      </c>
      <c r="C378" t="s">
        <v>41</v>
      </c>
      <c r="D378" t="s">
        <v>1546</v>
      </c>
      <c r="E378" t="s">
        <v>22</v>
      </c>
      <c r="F378" t="s">
        <v>62</v>
      </c>
      <c r="G378">
        <v>0</v>
      </c>
      <c r="H378">
        <v>13000</v>
      </c>
      <c r="J378" t="s">
        <v>1547</v>
      </c>
      <c r="K378">
        <v>0</v>
      </c>
      <c r="L378">
        <v>1993</v>
      </c>
      <c r="M378">
        <v>33</v>
      </c>
      <c r="N378" t="s">
        <v>2719</v>
      </c>
      <c r="O378" t="s">
        <v>2927</v>
      </c>
      <c r="P378">
        <v>27981.1</v>
      </c>
      <c r="Q378">
        <v>31567.3</v>
      </c>
      <c r="R378">
        <v>2027.4</v>
      </c>
      <c r="S378">
        <v>15.570336391437309</v>
      </c>
      <c r="T378">
        <v>18176.599999999999</v>
      </c>
      <c r="U378">
        <v>0.1115</v>
      </c>
    </row>
    <row r="379" spans="1:21" x14ac:dyDescent="0.3">
      <c r="A379" t="s">
        <v>1548</v>
      </c>
      <c r="B379" t="s">
        <v>1549</v>
      </c>
      <c r="C379" t="s">
        <v>20</v>
      </c>
      <c r="D379" t="s">
        <v>1550</v>
      </c>
      <c r="E379" t="s">
        <v>22</v>
      </c>
      <c r="F379" t="s">
        <v>33</v>
      </c>
      <c r="G379">
        <v>0</v>
      </c>
      <c r="H379">
        <v>17787</v>
      </c>
      <c r="J379" t="s">
        <v>1551</v>
      </c>
      <c r="K379">
        <v>0</v>
      </c>
      <c r="L379">
        <v>1985</v>
      </c>
      <c r="M379">
        <v>41</v>
      </c>
      <c r="N379" t="s">
        <v>2721</v>
      </c>
      <c r="O379" t="s">
        <v>2927</v>
      </c>
      <c r="P379">
        <v>24749.200000000001</v>
      </c>
      <c r="Q379">
        <v>26392.6</v>
      </c>
      <c r="R379">
        <v>1574.8</v>
      </c>
      <c r="S379">
        <v>16.759334518669036</v>
      </c>
      <c r="T379">
        <v>5828</v>
      </c>
      <c r="U379">
        <v>0.2702</v>
      </c>
    </row>
    <row r="380" spans="1:21" x14ac:dyDescent="0.3">
      <c r="A380" t="s">
        <v>1552</v>
      </c>
      <c r="B380" t="s">
        <v>1553</v>
      </c>
      <c r="C380" t="s">
        <v>20</v>
      </c>
      <c r="D380" t="s">
        <v>1554</v>
      </c>
      <c r="E380" t="s">
        <v>22</v>
      </c>
      <c r="F380" t="s">
        <v>33</v>
      </c>
      <c r="G380">
        <v>0</v>
      </c>
      <c r="H380">
        <v>56000</v>
      </c>
      <c r="J380" t="s">
        <v>1555</v>
      </c>
      <c r="K380">
        <v>0</v>
      </c>
      <c r="L380">
        <v>1941</v>
      </c>
      <c r="M380">
        <v>85</v>
      </c>
      <c r="N380" t="s">
        <v>2723</v>
      </c>
      <c r="O380" t="s">
        <v>2927</v>
      </c>
      <c r="P380">
        <v>148276.6</v>
      </c>
      <c r="Q380">
        <v>160536.6</v>
      </c>
      <c r="R380">
        <v>6949</v>
      </c>
      <c r="S380">
        <v>23.102115412289539</v>
      </c>
      <c r="T380">
        <v>25116</v>
      </c>
      <c r="U380">
        <v>0.2767</v>
      </c>
    </row>
    <row r="381" spans="1:21" x14ac:dyDescent="0.3">
      <c r="A381" t="s">
        <v>1556</v>
      </c>
      <c r="B381" t="s">
        <v>1557</v>
      </c>
      <c r="C381" t="s">
        <v>41</v>
      </c>
      <c r="D381" t="s">
        <v>1558</v>
      </c>
      <c r="E381" t="s">
        <v>22</v>
      </c>
      <c r="F381" t="s">
        <v>43</v>
      </c>
      <c r="G381">
        <v>0</v>
      </c>
      <c r="H381">
        <v>6238</v>
      </c>
      <c r="J381" t="s">
        <v>1559</v>
      </c>
      <c r="K381">
        <v>0</v>
      </c>
      <c r="L381">
        <v>1993</v>
      </c>
      <c r="M381">
        <v>33</v>
      </c>
      <c r="N381" t="s">
        <v>2725</v>
      </c>
      <c r="O381" t="s">
        <v>2928</v>
      </c>
      <c r="P381">
        <v>19401.3</v>
      </c>
      <c r="Q381">
        <v>20558.900000000001</v>
      </c>
      <c r="R381">
        <v>1096.9000000000001</v>
      </c>
      <c r="S381">
        <v>18.742729510438508</v>
      </c>
      <c r="T381">
        <v>28057.1</v>
      </c>
      <c r="U381">
        <v>3.9100000000000003E-2</v>
      </c>
    </row>
    <row r="382" spans="1:21" x14ac:dyDescent="0.3">
      <c r="A382" t="s">
        <v>1560</v>
      </c>
      <c r="B382" t="s">
        <v>1561</v>
      </c>
      <c r="C382" t="s">
        <v>20</v>
      </c>
      <c r="D382" t="s">
        <v>1562</v>
      </c>
      <c r="E382" t="s">
        <v>22</v>
      </c>
      <c r="F382" t="s">
        <v>53</v>
      </c>
      <c r="G382">
        <v>1</v>
      </c>
      <c r="H382">
        <v>20000</v>
      </c>
      <c r="J382" t="s">
        <v>1563</v>
      </c>
      <c r="K382">
        <v>0</v>
      </c>
      <c r="L382">
        <v>1932</v>
      </c>
      <c r="M382">
        <v>94</v>
      </c>
      <c r="N382" t="s">
        <v>2727</v>
      </c>
      <c r="O382" t="s">
        <v>2927</v>
      </c>
      <c r="P382">
        <v>24022.400000000001</v>
      </c>
      <c r="Q382" t="s">
        <v>91</v>
      </c>
      <c r="R382">
        <v>0</v>
      </c>
      <c r="S382" t="e">
        <v>#VALUE!</v>
      </c>
      <c r="T382">
        <v>9756</v>
      </c>
      <c r="U382">
        <v>0</v>
      </c>
    </row>
    <row r="383" spans="1:21" x14ac:dyDescent="0.3">
      <c r="A383" t="s">
        <v>1564</v>
      </c>
      <c r="B383" t="s">
        <v>1565</v>
      </c>
      <c r="C383" t="s">
        <v>41</v>
      </c>
      <c r="D383" t="s">
        <v>1566</v>
      </c>
      <c r="E383" t="s">
        <v>22</v>
      </c>
      <c r="F383" t="s">
        <v>43</v>
      </c>
      <c r="G383">
        <v>0</v>
      </c>
      <c r="H383">
        <v>28000</v>
      </c>
      <c r="J383" t="s">
        <v>1567</v>
      </c>
      <c r="K383">
        <v>0</v>
      </c>
      <c r="L383">
        <v>1986</v>
      </c>
      <c r="M383">
        <v>40</v>
      </c>
      <c r="N383" t="s">
        <v>2729</v>
      </c>
      <c r="O383" t="s">
        <v>2928</v>
      </c>
      <c r="P383">
        <v>79306.7</v>
      </c>
      <c r="Q383">
        <v>87970.9</v>
      </c>
      <c r="R383">
        <v>1615.1</v>
      </c>
      <c r="S383">
        <v>54.467772893319299</v>
      </c>
      <c r="T383">
        <v>8007.7</v>
      </c>
      <c r="U383">
        <v>0.20169999999999999</v>
      </c>
    </row>
    <row r="384" spans="1:21" x14ac:dyDescent="0.3">
      <c r="A384" t="s">
        <v>1568</v>
      </c>
      <c r="B384" t="s">
        <v>1569</v>
      </c>
      <c r="C384" t="s">
        <v>20</v>
      </c>
      <c r="D384" t="s">
        <v>1570</v>
      </c>
      <c r="E384" t="s">
        <v>22</v>
      </c>
      <c r="F384" t="s">
        <v>100</v>
      </c>
      <c r="G384">
        <v>0</v>
      </c>
      <c r="H384">
        <v>75000</v>
      </c>
      <c r="J384" t="s">
        <v>1571</v>
      </c>
      <c r="K384">
        <v>0</v>
      </c>
      <c r="L384">
        <v>1969</v>
      </c>
      <c r="M384">
        <v>57</v>
      </c>
      <c r="N384" t="s">
        <v>2731</v>
      </c>
      <c r="O384" t="s">
        <v>2927</v>
      </c>
      <c r="P384">
        <v>43659.3</v>
      </c>
      <c r="Q384">
        <v>57457.3</v>
      </c>
      <c r="R384">
        <v>4517</v>
      </c>
      <c r="S384">
        <v>12.720234669028116</v>
      </c>
      <c r="T384">
        <v>82646</v>
      </c>
      <c r="U384">
        <v>5.4699999999999999E-2</v>
      </c>
    </row>
    <row r="385" spans="1:21" x14ac:dyDescent="0.3">
      <c r="A385" t="s">
        <v>1572</v>
      </c>
      <c r="B385" t="s">
        <v>1573</v>
      </c>
      <c r="C385" t="s">
        <v>41</v>
      </c>
      <c r="D385" t="s">
        <v>1574</v>
      </c>
      <c r="E385" t="s">
        <v>22</v>
      </c>
      <c r="F385" t="s">
        <v>95</v>
      </c>
      <c r="G385">
        <v>0</v>
      </c>
      <c r="H385">
        <v>75000</v>
      </c>
      <c r="J385" t="s">
        <v>1575</v>
      </c>
      <c r="K385">
        <v>0</v>
      </c>
      <c r="L385">
        <v>1994</v>
      </c>
      <c r="M385">
        <v>32</v>
      </c>
      <c r="N385" t="s">
        <v>2733</v>
      </c>
      <c r="O385" t="s">
        <v>2927</v>
      </c>
      <c r="P385">
        <v>239203.4</v>
      </c>
      <c r="Q385">
        <v>357251.4</v>
      </c>
      <c r="R385">
        <v>32821</v>
      </c>
      <c r="S385">
        <v>10.884842021876239</v>
      </c>
      <c r="T385">
        <v>88309</v>
      </c>
      <c r="U385">
        <v>0.37169999999999997</v>
      </c>
    </row>
    <row r="386" spans="1:21" x14ac:dyDescent="0.3">
      <c r="A386" t="s">
        <v>1576</v>
      </c>
      <c r="B386" t="s">
        <v>1577</v>
      </c>
      <c r="C386" t="s">
        <v>41</v>
      </c>
      <c r="D386" t="s">
        <v>1578</v>
      </c>
      <c r="E386" t="s">
        <v>22</v>
      </c>
      <c r="F386" t="s">
        <v>53</v>
      </c>
      <c r="G386">
        <v>1</v>
      </c>
      <c r="H386">
        <v>7773</v>
      </c>
      <c r="J386" t="s">
        <v>1579</v>
      </c>
      <c r="K386">
        <v>0</v>
      </c>
      <c r="L386">
        <v>1937</v>
      </c>
      <c r="M386">
        <v>89</v>
      </c>
      <c r="N386" t="s">
        <v>2735</v>
      </c>
      <c r="O386" t="s">
        <v>2927</v>
      </c>
      <c r="P386">
        <v>20636.2</v>
      </c>
      <c r="Q386">
        <v>18920.099999999999</v>
      </c>
      <c r="R386">
        <v>2971.6</v>
      </c>
      <c r="S386">
        <v>6.3669740207295726</v>
      </c>
      <c r="T386">
        <v>7314.8</v>
      </c>
      <c r="U386">
        <v>0.40620000000000001</v>
      </c>
    </row>
    <row r="387" spans="1:21" x14ac:dyDescent="0.3">
      <c r="A387" t="s">
        <v>1580</v>
      </c>
      <c r="B387" t="s">
        <v>1581</v>
      </c>
      <c r="C387" t="s">
        <v>41</v>
      </c>
      <c r="D387" t="s">
        <v>1582</v>
      </c>
      <c r="E387" t="s">
        <v>22</v>
      </c>
      <c r="F387" t="s">
        <v>95</v>
      </c>
      <c r="G387">
        <v>0</v>
      </c>
      <c r="H387">
        <v>12928</v>
      </c>
      <c r="J387" t="s">
        <v>1583</v>
      </c>
      <c r="K387">
        <v>0</v>
      </c>
      <c r="L387">
        <v>1993</v>
      </c>
      <c r="M387">
        <v>33</v>
      </c>
      <c r="N387" t="s">
        <v>2737</v>
      </c>
      <c r="O387" t="s">
        <v>2927</v>
      </c>
      <c r="P387">
        <v>39160.9</v>
      </c>
      <c r="Q387">
        <v>40313.199999999997</v>
      </c>
      <c r="R387">
        <v>826.9</v>
      </c>
      <c r="S387">
        <v>48.752207038335953</v>
      </c>
      <c r="T387">
        <v>6559.1</v>
      </c>
      <c r="U387">
        <v>0.12609999999999999</v>
      </c>
    </row>
    <row r="388" spans="1:21" x14ac:dyDescent="0.3">
      <c r="A388" t="s">
        <v>1584</v>
      </c>
      <c r="B388" t="s">
        <v>1585</v>
      </c>
      <c r="C388" t="s">
        <v>20</v>
      </c>
      <c r="D388" t="s">
        <v>1586</v>
      </c>
      <c r="E388" t="s">
        <v>22</v>
      </c>
      <c r="F388" t="s">
        <v>67</v>
      </c>
      <c r="G388">
        <v>0</v>
      </c>
      <c r="H388">
        <v>15750</v>
      </c>
      <c r="I388" t="s">
        <v>1587</v>
      </c>
      <c r="J388" t="s">
        <v>1587</v>
      </c>
      <c r="K388">
        <v>1</v>
      </c>
      <c r="L388">
        <v>1941</v>
      </c>
      <c r="M388">
        <v>85</v>
      </c>
      <c r="N388" t="s">
        <v>2739</v>
      </c>
      <c r="O388" t="s">
        <v>2927</v>
      </c>
      <c r="P388">
        <v>31477.1</v>
      </c>
      <c r="Q388">
        <v>34343.1</v>
      </c>
      <c r="R388">
        <v>1813.4</v>
      </c>
      <c r="S388">
        <v>18.938513289952574</v>
      </c>
      <c r="T388">
        <v>7514.8</v>
      </c>
      <c r="U388">
        <v>0.24129999999999999</v>
      </c>
    </row>
    <row r="389" spans="1:21" x14ac:dyDescent="0.3">
      <c r="A389" t="s">
        <v>1588</v>
      </c>
      <c r="B389" t="s">
        <v>1589</v>
      </c>
      <c r="C389" t="s">
        <v>20</v>
      </c>
      <c r="D389" t="s">
        <v>1590</v>
      </c>
      <c r="E389" t="s">
        <v>22</v>
      </c>
      <c r="F389" t="s">
        <v>153</v>
      </c>
      <c r="G389">
        <v>0</v>
      </c>
      <c r="H389">
        <v>3570</v>
      </c>
      <c r="J389" t="s">
        <v>1591</v>
      </c>
      <c r="K389">
        <v>0</v>
      </c>
      <c r="L389">
        <v>2005</v>
      </c>
      <c r="M389">
        <v>21</v>
      </c>
      <c r="N389" t="s">
        <v>2741</v>
      </c>
      <c r="O389" t="s">
        <v>2927</v>
      </c>
      <c r="P389">
        <v>50685.599999999999</v>
      </c>
      <c r="Q389">
        <v>68196.100000000006</v>
      </c>
      <c r="R389">
        <v>4846.5</v>
      </c>
      <c r="S389">
        <v>14.071206024966472</v>
      </c>
      <c r="T389">
        <v>17028.3</v>
      </c>
      <c r="U389">
        <v>0.28460000000000002</v>
      </c>
    </row>
    <row r="390" spans="1:21" x14ac:dyDescent="0.3">
      <c r="A390" t="s">
        <v>1592</v>
      </c>
      <c r="B390" t="s">
        <v>1593</v>
      </c>
      <c r="C390" t="s">
        <v>20</v>
      </c>
      <c r="D390" t="s">
        <v>1594</v>
      </c>
      <c r="E390" t="s">
        <v>22</v>
      </c>
      <c r="F390" t="s">
        <v>100</v>
      </c>
      <c r="G390">
        <v>0</v>
      </c>
      <c r="H390">
        <v>440000</v>
      </c>
      <c r="J390" t="s">
        <v>1595</v>
      </c>
      <c r="K390">
        <v>0</v>
      </c>
      <c r="L390">
        <v>1902</v>
      </c>
      <c r="M390">
        <v>124</v>
      </c>
      <c r="N390" t="s">
        <v>2743</v>
      </c>
      <c r="O390" t="s">
        <v>2927</v>
      </c>
      <c r="P390">
        <v>51524.800000000003</v>
      </c>
      <c r="Q390">
        <v>68173.8</v>
      </c>
      <c r="R390">
        <v>8066</v>
      </c>
      <c r="S390">
        <v>8.4519960327299781</v>
      </c>
      <c r="T390">
        <v>105242</v>
      </c>
      <c r="U390">
        <v>7.6600000000000001E-2</v>
      </c>
    </row>
    <row r="391" spans="1:21" x14ac:dyDescent="0.3">
      <c r="A391" t="s">
        <v>1596</v>
      </c>
      <c r="B391" t="s">
        <v>1597</v>
      </c>
      <c r="C391" t="s">
        <v>20</v>
      </c>
      <c r="D391" t="s">
        <v>1598</v>
      </c>
      <c r="E391" t="s">
        <v>22</v>
      </c>
      <c r="F391" t="s">
        <v>43</v>
      </c>
      <c r="G391">
        <v>0</v>
      </c>
      <c r="H391">
        <v>15800</v>
      </c>
      <c r="J391" t="s">
        <v>1599</v>
      </c>
      <c r="K391">
        <v>0</v>
      </c>
      <c r="L391">
        <v>1960</v>
      </c>
      <c r="M391">
        <v>66</v>
      </c>
      <c r="N391" t="s">
        <v>2745</v>
      </c>
      <c r="O391" t="s">
        <v>2928</v>
      </c>
      <c r="P391">
        <v>31541.9</v>
      </c>
      <c r="Q391">
        <v>33831.599999999999</v>
      </c>
      <c r="R391">
        <v>1497</v>
      </c>
      <c r="S391">
        <v>22.599599198396792</v>
      </c>
      <c r="T391">
        <v>6115.4</v>
      </c>
      <c r="U391">
        <v>0.24479999999999999</v>
      </c>
    </row>
    <row r="392" spans="1:21" x14ac:dyDescent="0.3">
      <c r="A392" t="s">
        <v>1600</v>
      </c>
      <c r="B392" t="s">
        <v>1601</v>
      </c>
      <c r="C392" t="s">
        <v>41</v>
      </c>
      <c r="D392" t="s">
        <v>1602</v>
      </c>
      <c r="E392" t="s">
        <v>22</v>
      </c>
      <c r="F392" t="s">
        <v>43</v>
      </c>
      <c r="G392">
        <v>0</v>
      </c>
      <c r="H392">
        <v>6600</v>
      </c>
      <c r="J392" t="s">
        <v>1603</v>
      </c>
      <c r="K392">
        <v>0</v>
      </c>
      <c r="L392">
        <v>1960</v>
      </c>
      <c r="M392">
        <v>66</v>
      </c>
      <c r="N392" t="s">
        <v>2747</v>
      </c>
      <c r="O392" t="s">
        <v>2927</v>
      </c>
      <c r="P392">
        <v>50102.6</v>
      </c>
      <c r="Q392">
        <v>49937.599999999999</v>
      </c>
      <c r="R392">
        <v>812</v>
      </c>
      <c r="S392">
        <v>61.499507389162559</v>
      </c>
      <c r="T392">
        <v>3190</v>
      </c>
      <c r="U392">
        <v>0.2545</v>
      </c>
    </row>
    <row r="393" spans="1:21" x14ac:dyDescent="0.3">
      <c r="A393" t="s">
        <v>1604</v>
      </c>
      <c r="B393" t="s">
        <v>1605</v>
      </c>
      <c r="C393" t="s">
        <v>41</v>
      </c>
      <c r="D393" t="s">
        <v>1606</v>
      </c>
      <c r="E393" t="s">
        <v>22</v>
      </c>
      <c r="F393" t="s">
        <v>67</v>
      </c>
      <c r="G393">
        <v>0</v>
      </c>
      <c r="H393">
        <v>134785</v>
      </c>
      <c r="J393" t="s">
        <v>1607</v>
      </c>
      <c r="K393">
        <v>0</v>
      </c>
      <c r="L393">
        <v>2003</v>
      </c>
      <c r="M393">
        <v>23</v>
      </c>
      <c r="N393" t="s">
        <v>2749</v>
      </c>
      <c r="O393" t="s">
        <v>2927</v>
      </c>
      <c r="P393">
        <v>1510391.4</v>
      </c>
      <c r="Q393">
        <v>1481779.4</v>
      </c>
      <c r="R393">
        <v>10503</v>
      </c>
      <c r="S393">
        <v>141.08153860801676</v>
      </c>
      <c r="T393">
        <v>94827</v>
      </c>
      <c r="U393">
        <v>0.1108</v>
      </c>
    </row>
    <row r="394" spans="1:21" x14ac:dyDescent="0.3">
      <c r="A394" t="s">
        <v>1608</v>
      </c>
      <c r="B394" t="s">
        <v>1609</v>
      </c>
      <c r="C394" t="s">
        <v>41</v>
      </c>
      <c r="D394" t="s">
        <v>1610</v>
      </c>
      <c r="E394" t="s">
        <v>22</v>
      </c>
      <c r="F394" t="s">
        <v>43</v>
      </c>
      <c r="G394">
        <v>0</v>
      </c>
      <c r="H394">
        <v>33000</v>
      </c>
      <c r="J394" t="s">
        <v>1611</v>
      </c>
      <c r="K394">
        <v>0</v>
      </c>
      <c r="L394">
        <v>1930</v>
      </c>
      <c r="M394">
        <v>96</v>
      </c>
      <c r="N394" t="s">
        <v>2751</v>
      </c>
      <c r="O394" t="s">
        <v>2927</v>
      </c>
      <c r="P394">
        <v>192500.6</v>
      </c>
      <c r="Q394">
        <v>202398.6</v>
      </c>
      <c r="R394">
        <v>8044</v>
      </c>
      <c r="S394">
        <v>25.161437095972154</v>
      </c>
      <c r="T394">
        <v>17682</v>
      </c>
      <c r="U394">
        <v>0.45490000000000003</v>
      </c>
    </row>
    <row r="395" spans="1:21" x14ac:dyDescent="0.3">
      <c r="A395" t="s">
        <v>1612</v>
      </c>
      <c r="B395" t="s">
        <v>1613</v>
      </c>
      <c r="C395" t="s">
        <v>20</v>
      </c>
      <c r="D395" t="s">
        <v>1614</v>
      </c>
      <c r="E395" t="s">
        <v>22</v>
      </c>
      <c r="F395" t="s">
        <v>153</v>
      </c>
      <c r="G395">
        <v>0</v>
      </c>
      <c r="H395">
        <v>114</v>
      </c>
      <c r="J395" t="s">
        <v>1615</v>
      </c>
      <c r="K395">
        <v>0</v>
      </c>
      <c r="L395">
        <v>1888</v>
      </c>
      <c r="M395">
        <v>138</v>
      </c>
      <c r="N395" t="s">
        <v>2753</v>
      </c>
      <c r="O395" t="s">
        <v>2927</v>
      </c>
      <c r="P395">
        <v>36145.4</v>
      </c>
      <c r="Q395">
        <v>36018.300000000003</v>
      </c>
      <c r="R395">
        <v>655.6</v>
      </c>
      <c r="S395">
        <v>54.939444783404518</v>
      </c>
      <c r="T395">
        <v>798.2</v>
      </c>
      <c r="U395">
        <v>0.82130000000000003</v>
      </c>
    </row>
    <row r="396" spans="1:21" x14ac:dyDescent="0.3">
      <c r="A396" t="s">
        <v>1616</v>
      </c>
      <c r="B396" t="s">
        <v>1617</v>
      </c>
      <c r="C396" t="s">
        <v>20</v>
      </c>
      <c r="D396" t="s">
        <v>1618</v>
      </c>
      <c r="E396" t="s">
        <v>22</v>
      </c>
      <c r="F396" t="s">
        <v>28</v>
      </c>
      <c r="G396">
        <v>0</v>
      </c>
      <c r="H396">
        <v>34000</v>
      </c>
      <c r="J396" t="s">
        <v>1619</v>
      </c>
      <c r="K396">
        <v>0</v>
      </c>
      <c r="L396">
        <v>1923</v>
      </c>
      <c r="M396">
        <v>103</v>
      </c>
      <c r="N396" t="s">
        <v>2755</v>
      </c>
      <c r="O396" t="s">
        <v>2927</v>
      </c>
      <c r="P396">
        <v>17181.099999999999</v>
      </c>
      <c r="Q396">
        <v>19523.099999999999</v>
      </c>
      <c r="R396">
        <v>1650</v>
      </c>
      <c r="S396">
        <v>11.832181818181818</v>
      </c>
      <c r="T396">
        <v>14799</v>
      </c>
      <c r="U396">
        <v>0.1115</v>
      </c>
    </row>
    <row r="397" spans="1:21" x14ac:dyDescent="0.3">
      <c r="A397" t="s">
        <v>1620</v>
      </c>
      <c r="B397" t="s">
        <v>1621</v>
      </c>
      <c r="C397" t="s">
        <v>20</v>
      </c>
      <c r="D397" t="s">
        <v>1622</v>
      </c>
      <c r="E397" t="s">
        <v>22</v>
      </c>
      <c r="F397" t="s">
        <v>89</v>
      </c>
      <c r="G397">
        <v>0</v>
      </c>
      <c r="H397">
        <v>9100</v>
      </c>
      <c r="J397" t="s">
        <v>1623</v>
      </c>
      <c r="K397">
        <v>0</v>
      </c>
      <c r="L397">
        <v>1981</v>
      </c>
      <c r="M397">
        <v>45</v>
      </c>
      <c r="N397" t="s">
        <v>2757</v>
      </c>
      <c r="O397" t="s">
        <v>2927</v>
      </c>
      <c r="P397">
        <v>12305.4</v>
      </c>
      <c r="Q397">
        <v>49107.4</v>
      </c>
      <c r="R397">
        <v>3206</v>
      </c>
      <c r="S397">
        <v>15.317342482844667</v>
      </c>
      <c r="T397">
        <v>12094</v>
      </c>
      <c r="U397">
        <v>0.2651</v>
      </c>
    </row>
    <row r="398" spans="1:21" x14ac:dyDescent="0.3">
      <c r="A398" t="s">
        <v>1624</v>
      </c>
      <c r="B398" t="s">
        <v>1625</v>
      </c>
      <c r="C398" t="s">
        <v>20</v>
      </c>
      <c r="D398" t="s">
        <v>1626</v>
      </c>
      <c r="E398" t="s">
        <v>22</v>
      </c>
      <c r="F398" t="s">
        <v>53</v>
      </c>
      <c r="G398">
        <v>1</v>
      </c>
      <c r="H398">
        <v>53150</v>
      </c>
      <c r="J398" t="s">
        <v>1627</v>
      </c>
      <c r="K398">
        <v>0</v>
      </c>
      <c r="L398">
        <v>1931</v>
      </c>
      <c r="M398">
        <v>95</v>
      </c>
      <c r="N398" t="s">
        <v>2759</v>
      </c>
      <c r="O398" t="s">
        <v>2927</v>
      </c>
      <c r="P398">
        <v>55675.6</v>
      </c>
      <c r="Q398">
        <v>64652.6</v>
      </c>
      <c r="R398">
        <v>12495</v>
      </c>
      <c r="S398">
        <v>5.174277711084434</v>
      </c>
      <c r="T398">
        <v>67685</v>
      </c>
      <c r="U398">
        <v>0.18459999999999999</v>
      </c>
    </row>
    <row r="399" spans="1:21" x14ac:dyDescent="0.3">
      <c r="A399" t="s">
        <v>1628</v>
      </c>
      <c r="B399" t="s">
        <v>1629</v>
      </c>
      <c r="C399" t="s">
        <v>20</v>
      </c>
      <c r="D399" t="s">
        <v>1630</v>
      </c>
      <c r="E399" t="s">
        <v>22</v>
      </c>
      <c r="F399" t="s">
        <v>53</v>
      </c>
      <c r="G399">
        <v>1</v>
      </c>
      <c r="H399">
        <v>48100</v>
      </c>
      <c r="J399" t="s">
        <v>1631</v>
      </c>
      <c r="K399">
        <v>0</v>
      </c>
      <c r="L399">
        <v>1784</v>
      </c>
      <c r="M399">
        <v>242</v>
      </c>
      <c r="N399" t="s">
        <v>2761</v>
      </c>
      <c r="O399" t="s">
        <v>2927</v>
      </c>
      <c r="P399">
        <v>81810.7</v>
      </c>
      <c r="Q399" t="s">
        <v>91</v>
      </c>
      <c r="R399">
        <v>0</v>
      </c>
      <c r="S399" t="e">
        <v>#VALUE!</v>
      </c>
      <c r="T399">
        <v>20004</v>
      </c>
      <c r="U399">
        <v>0</v>
      </c>
    </row>
    <row r="400" spans="1:21" x14ac:dyDescent="0.3">
      <c r="A400" t="s">
        <v>1632</v>
      </c>
      <c r="B400" t="s">
        <v>1633</v>
      </c>
      <c r="C400" t="s">
        <v>20</v>
      </c>
      <c r="D400" t="s">
        <v>1634</v>
      </c>
      <c r="E400" t="s">
        <v>22</v>
      </c>
      <c r="F400" t="s">
        <v>28</v>
      </c>
      <c r="G400">
        <v>0</v>
      </c>
      <c r="H400">
        <v>182000</v>
      </c>
      <c r="J400" t="s">
        <v>1635</v>
      </c>
      <c r="K400">
        <v>0</v>
      </c>
      <c r="L400">
        <v>1916</v>
      </c>
      <c r="M400">
        <v>110</v>
      </c>
      <c r="N400" t="s">
        <v>2763</v>
      </c>
      <c r="O400" t="s">
        <v>2927</v>
      </c>
      <c r="P400">
        <v>178690</v>
      </c>
      <c r="Q400">
        <v>206406</v>
      </c>
      <c r="R400">
        <v>-3238</v>
      </c>
      <c r="S400">
        <v>-63.744904261890056</v>
      </c>
      <c r="T400">
        <v>89463</v>
      </c>
      <c r="U400">
        <v>-3.6200000000000003E-2</v>
      </c>
    </row>
    <row r="401" spans="1:21" x14ac:dyDescent="0.3">
      <c r="A401" t="s">
        <v>1636</v>
      </c>
      <c r="B401" t="s">
        <v>1637</v>
      </c>
      <c r="C401" t="s">
        <v>41</v>
      </c>
      <c r="D401" t="s">
        <v>1638</v>
      </c>
      <c r="E401" t="s">
        <v>22</v>
      </c>
      <c r="F401" t="s">
        <v>100</v>
      </c>
      <c r="G401">
        <v>0</v>
      </c>
      <c r="H401">
        <v>13700</v>
      </c>
      <c r="J401" t="s">
        <v>1639</v>
      </c>
      <c r="K401">
        <v>0</v>
      </c>
      <c r="L401">
        <v>1869</v>
      </c>
      <c r="M401">
        <v>157</v>
      </c>
      <c r="N401" t="s">
        <v>2765</v>
      </c>
      <c r="O401" t="s">
        <v>2927</v>
      </c>
      <c r="P401">
        <v>8034.7</v>
      </c>
      <c r="Q401">
        <v>15175.7</v>
      </c>
      <c r="R401">
        <v>1834</v>
      </c>
      <c r="S401">
        <v>8.2746455834242099</v>
      </c>
      <c r="T401">
        <v>10158</v>
      </c>
      <c r="U401">
        <v>0.18049999999999999</v>
      </c>
    </row>
    <row r="402" spans="1:21" x14ac:dyDescent="0.3">
      <c r="A402" t="s">
        <v>1640</v>
      </c>
      <c r="B402" t="s">
        <v>1641</v>
      </c>
      <c r="C402" t="s">
        <v>20</v>
      </c>
      <c r="D402" t="s">
        <v>1642</v>
      </c>
      <c r="E402" t="s">
        <v>22</v>
      </c>
      <c r="F402" t="s">
        <v>53</v>
      </c>
      <c r="G402">
        <v>1</v>
      </c>
      <c r="H402">
        <v>33000</v>
      </c>
      <c r="J402" t="s">
        <v>1643</v>
      </c>
      <c r="K402">
        <v>0</v>
      </c>
      <c r="L402">
        <v>1971</v>
      </c>
      <c r="M402">
        <v>55</v>
      </c>
      <c r="N402" t="s">
        <v>2767</v>
      </c>
      <c r="O402" t="s">
        <v>2927</v>
      </c>
      <c r="P402">
        <v>166810.4</v>
      </c>
      <c r="Q402" t="s">
        <v>91</v>
      </c>
      <c r="R402">
        <v>0</v>
      </c>
      <c r="S402" t="e">
        <v>#VALUE!</v>
      </c>
      <c r="T402">
        <v>23921</v>
      </c>
      <c r="U402">
        <v>0</v>
      </c>
    </row>
    <row r="403" spans="1:21" x14ac:dyDescent="0.3">
      <c r="A403" t="s">
        <v>1644</v>
      </c>
      <c r="B403" t="s">
        <v>1645</v>
      </c>
      <c r="C403" t="s">
        <v>20</v>
      </c>
      <c r="D403" t="s">
        <v>1646</v>
      </c>
      <c r="E403" t="s">
        <v>22</v>
      </c>
      <c r="F403" t="s">
        <v>33</v>
      </c>
      <c r="G403">
        <v>0</v>
      </c>
      <c r="H403">
        <v>66685</v>
      </c>
      <c r="J403" t="s">
        <v>1647</v>
      </c>
      <c r="K403">
        <v>0</v>
      </c>
      <c r="L403">
        <v>1792</v>
      </c>
      <c r="M403">
        <v>234</v>
      </c>
      <c r="N403" t="s">
        <v>2769</v>
      </c>
      <c r="O403" t="s">
        <v>2927</v>
      </c>
      <c r="P403">
        <v>76375.8</v>
      </c>
      <c r="Q403">
        <v>99267.8</v>
      </c>
      <c r="R403">
        <v>12047</v>
      </c>
      <c r="S403">
        <v>8.2400431642732634</v>
      </c>
      <c r="T403">
        <v>274900</v>
      </c>
      <c r="U403">
        <v>4.3799999999999999E-2</v>
      </c>
    </row>
    <row r="404" spans="1:21" x14ac:dyDescent="0.3">
      <c r="A404" t="s">
        <v>1648</v>
      </c>
      <c r="B404" t="s">
        <v>1649</v>
      </c>
      <c r="C404" t="s">
        <v>20</v>
      </c>
      <c r="D404" t="s">
        <v>1650</v>
      </c>
      <c r="E404" t="s">
        <v>22</v>
      </c>
      <c r="F404" t="s">
        <v>100</v>
      </c>
      <c r="G404">
        <v>0</v>
      </c>
      <c r="H404">
        <v>7600</v>
      </c>
      <c r="I404" t="s">
        <v>1651</v>
      </c>
      <c r="J404" t="s">
        <v>1651</v>
      </c>
      <c r="K404">
        <v>1</v>
      </c>
      <c r="L404">
        <v>1913</v>
      </c>
      <c r="M404">
        <v>113</v>
      </c>
      <c r="N404" t="s">
        <v>2771</v>
      </c>
      <c r="O404" t="s">
        <v>2928</v>
      </c>
      <c r="P404">
        <v>15375.2</v>
      </c>
      <c r="Q404">
        <v>18525.2</v>
      </c>
      <c r="R404">
        <v>1228</v>
      </c>
      <c r="S404">
        <v>15.085667752442998</v>
      </c>
      <c r="T404">
        <v>6758</v>
      </c>
      <c r="U404">
        <v>0.1817</v>
      </c>
    </row>
    <row r="405" spans="1:21" x14ac:dyDescent="0.3">
      <c r="A405" t="s">
        <v>1652</v>
      </c>
      <c r="B405" t="s">
        <v>1653</v>
      </c>
      <c r="C405" t="s">
        <v>20</v>
      </c>
      <c r="D405" t="s">
        <v>1654</v>
      </c>
      <c r="E405" t="s">
        <v>22</v>
      </c>
      <c r="F405" t="s">
        <v>100</v>
      </c>
      <c r="G405">
        <v>0</v>
      </c>
      <c r="H405">
        <v>65900</v>
      </c>
      <c r="J405" t="s">
        <v>1655</v>
      </c>
      <c r="K405">
        <v>0</v>
      </c>
      <c r="L405">
        <v>1886</v>
      </c>
      <c r="M405">
        <v>140</v>
      </c>
      <c r="N405" t="s">
        <v>2773</v>
      </c>
      <c r="O405" t="s">
        <v>2927</v>
      </c>
      <c r="P405">
        <v>350767</v>
      </c>
      <c r="Q405">
        <v>384981</v>
      </c>
      <c r="R405">
        <v>16078</v>
      </c>
      <c r="S405">
        <v>23.944582659534767</v>
      </c>
      <c r="T405">
        <v>47941</v>
      </c>
      <c r="U405">
        <v>0.33539999999999998</v>
      </c>
    </row>
    <row r="406" spans="1:21" x14ac:dyDescent="0.3">
      <c r="A406" t="s">
        <v>1656</v>
      </c>
      <c r="B406" t="s">
        <v>1657</v>
      </c>
      <c r="C406" t="s">
        <v>41</v>
      </c>
      <c r="D406" t="s">
        <v>1658</v>
      </c>
      <c r="E406" t="s">
        <v>22</v>
      </c>
      <c r="F406" t="s">
        <v>33</v>
      </c>
      <c r="G406">
        <v>0</v>
      </c>
      <c r="H406">
        <v>15000</v>
      </c>
      <c r="J406" t="s">
        <v>1659</v>
      </c>
      <c r="K406">
        <v>0</v>
      </c>
      <c r="L406">
        <v>1958</v>
      </c>
      <c r="M406">
        <v>68</v>
      </c>
      <c r="N406" t="s">
        <v>2775</v>
      </c>
      <c r="O406" t="s">
        <v>2928</v>
      </c>
      <c r="P406">
        <v>16325.2</v>
      </c>
      <c r="Q406">
        <v>18998.400000000001</v>
      </c>
      <c r="R406">
        <v>1064.0999999999999</v>
      </c>
      <c r="S406">
        <v>17.853961093882155</v>
      </c>
      <c r="T406">
        <v>4092.4</v>
      </c>
      <c r="U406">
        <v>0.26</v>
      </c>
    </row>
    <row r="407" spans="1:21" x14ac:dyDescent="0.3">
      <c r="A407" t="s">
        <v>1660</v>
      </c>
      <c r="B407" t="s">
        <v>1661</v>
      </c>
      <c r="C407" t="s">
        <v>20</v>
      </c>
      <c r="D407" t="s">
        <v>1662</v>
      </c>
      <c r="E407" t="s">
        <v>22</v>
      </c>
      <c r="F407" t="s">
        <v>100</v>
      </c>
      <c r="G407">
        <v>0</v>
      </c>
      <c r="H407">
        <v>44460</v>
      </c>
      <c r="J407" t="s">
        <v>1663</v>
      </c>
      <c r="K407">
        <v>0</v>
      </c>
      <c r="L407">
        <v>1946</v>
      </c>
      <c r="M407">
        <v>80</v>
      </c>
      <c r="N407" t="s">
        <v>2929</v>
      </c>
      <c r="O407" t="s">
        <v>2927</v>
      </c>
      <c r="P407">
        <v>39598.300000000003</v>
      </c>
      <c r="Q407">
        <v>45906.3</v>
      </c>
      <c r="R407">
        <v>2205</v>
      </c>
      <c r="S407">
        <v>20.819183673469389</v>
      </c>
      <c r="T407">
        <v>14671</v>
      </c>
      <c r="U407">
        <v>0.15029999999999999</v>
      </c>
    </row>
    <row r="408" spans="1:21" x14ac:dyDescent="0.3">
      <c r="A408" t="s">
        <v>1664</v>
      </c>
      <c r="B408" t="s">
        <v>1665</v>
      </c>
      <c r="C408" t="s">
        <v>20</v>
      </c>
      <c r="D408" t="s">
        <v>1666</v>
      </c>
      <c r="E408" t="s">
        <v>22</v>
      </c>
      <c r="F408" t="s">
        <v>53</v>
      </c>
      <c r="G408">
        <v>1</v>
      </c>
      <c r="H408">
        <v>47400</v>
      </c>
      <c r="J408" t="s">
        <v>1667</v>
      </c>
      <c r="K408">
        <v>0</v>
      </c>
      <c r="L408">
        <v>1869</v>
      </c>
      <c r="M408">
        <v>157</v>
      </c>
      <c r="N408" t="s">
        <v>2780</v>
      </c>
      <c r="O408" t="s">
        <v>2927</v>
      </c>
      <c r="P408">
        <v>265045.7</v>
      </c>
      <c r="Q408" t="s">
        <v>91</v>
      </c>
      <c r="R408">
        <v>0</v>
      </c>
      <c r="S408" t="e">
        <v>#VALUE!</v>
      </c>
      <c r="T408">
        <v>59396</v>
      </c>
      <c r="U408">
        <v>0</v>
      </c>
    </row>
    <row r="409" spans="1:21" x14ac:dyDescent="0.3">
      <c r="A409" t="s">
        <v>1668</v>
      </c>
      <c r="B409" t="s">
        <v>1669</v>
      </c>
      <c r="C409" t="s">
        <v>20</v>
      </c>
      <c r="D409" t="s">
        <v>1670</v>
      </c>
      <c r="E409" t="s">
        <v>22</v>
      </c>
      <c r="F409" t="s">
        <v>53</v>
      </c>
      <c r="G409">
        <v>1</v>
      </c>
      <c r="H409">
        <v>19200</v>
      </c>
      <c r="J409" t="s">
        <v>1671</v>
      </c>
      <c r="K409">
        <v>0</v>
      </c>
      <c r="L409">
        <v>1810</v>
      </c>
      <c r="M409">
        <v>216</v>
      </c>
      <c r="N409" t="s">
        <v>2782</v>
      </c>
      <c r="O409" t="s">
        <v>2927</v>
      </c>
      <c r="P409">
        <v>38849.800000000003</v>
      </c>
      <c r="Q409">
        <v>43593.8</v>
      </c>
      <c r="R409">
        <v>5232</v>
      </c>
      <c r="S409">
        <v>8.3321483180428135</v>
      </c>
      <c r="T409">
        <v>28376</v>
      </c>
      <c r="U409">
        <v>0.18440000000000001</v>
      </c>
    </row>
    <row r="410" spans="1:21" x14ac:dyDescent="0.3">
      <c r="A410" t="s">
        <v>1672</v>
      </c>
      <c r="B410" t="s">
        <v>1673</v>
      </c>
      <c r="C410" t="s">
        <v>20</v>
      </c>
      <c r="D410" t="s">
        <v>1674</v>
      </c>
      <c r="E410" t="s">
        <v>22</v>
      </c>
      <c r="F410" t="s">
        <v>100</v>
      </c>
      <c r="G410">
        <v>0</v>
      </c>
      <c r="H410">
        <v>18573</v>
      </c>
      <c r="I410" t="s">
        <v>1675</v>
      </c>
      <c r="J410" t="s">
        <v>1675</v>
      </c>
      <c r="K410">
        <v>1</v>
      </c>
      <c r="L410">
        <v>1894</v>
      </c>
      <c r="M410">
        <v>132</v>
      </c>
      <c r="N410" t="s">
        <v>2784</v>
      </c>
      <c r="O410" t="s">
        <v>2927</v>
      </c>
      <c r="P410">
        <v>47891.8</v>
      </c>
      <c r="Q410">
        <v>52704.5</v>
      </c>
      <c r="R410">
        <v>1975.1</v>
      </c>
      <c r="S410">
        <v>26.684471672320392</v>
      </c>
      <c r="T410">
        <v>11692.6</v>
      </c>
      <c r="U410">
        <v>0.16889999999999999</v>
      </c>
    </row>
    <row r="411" spans="1:21" x14ac:dyDescent="0.3">
      <c r="A411" t="s">
        <v>1676</v>
      </c>
      <c r="B411" t="s">
        <v>1677</v>
      </c>
      <c r="C411" t="s">
        <v>20</v>
      </c>
      <c r="D411" t="s">
        <v>1678</v>
      </c>
      <c r="E411" t="s">
        <v>22</v>
      </c>
      <c r="F411" t="s">
        <v>67</v>
      </c>
      <c r="G411">
        <v>0</v>
      </c>
      <c r="H411">
        <v>470000</v>
      </c>
      <c r="J411" t="s">
        <v>1679</v>
      </c>
      <c r="K411">
        <v>0</v>
      </c>
      <c r="L411">
        <v>1978</v>
      </c>
      <c r="M411">
        <v>48</v>
      </c>
      <c r="N411" t="s">
        <v>2786</v>
      </c>
      <c r="O411" t="s">
        <v>2927</v>
      </c>
      <c r="P411">
        <v>379011.1</v>
      </c>
      <c r="Q411">
        <v>442972.1</v>
      </c>
      <c r="R411">
        <v>25011</v>
      </c>
      <c r="S411">
        <v>17.711091119907241</v>
      </c>
      <c r="T411">
        <v>164683</v>
      </c>
      <c r="U411">
        <v>0.15190000000000001</v>
      </c>
    </row>
    <row r="412" spans="1:21" x14ac:dyDescent="0.3">
      <c r="A412" t="s">
        <v>1680</v>
      </c>
      <c r="B412" t="s">
        <v>1681</v>
      </c>
      <c r="C412" t="s">
        <v>20</v>
      </c>
      <c r="D412" t="s">
        <v>1682</v>
      </c>
      <c r="E412" t="s">
        <v>22</v>
      </c>
      <c r="F412" t="s">
        <v>100</v>
      </c>
      <c r="G412">
        <v>0</v>
      </c>
      <c r="H412">
        <v>8000</v>
      </c>
      <c r="J412" t="s">
        <v>1683</v>
      </c>
      <c r="K412">
        <v>0</v>
      </c>
      <c r="L412">
        <v>1897</v>
      </c>
      <c r="M412">
        <v>129</v>
      </c>
      <c r="N412" t="s">
        <v>2788</v>
      </c>
      <c r="O412" t="s">
        <v>2927</v>
      </c>
      <c r="P412">
        <v>12365.9</v>
      </c>
      <c r="Q412">
        <v>19811.400000000001</v>
      </c>
      <c r="R412">
        <v>1879.2</v>
      </c>
      <c r="S412">
        <v>10.542464878671776</v>
      </c>
      <c r="T412">
        <v>8926.6</v>
      </c>
      <c r="U412">
        <v>0.21049999999999999</v>
      </c>
    </row>
    <row r="413" spans="1:21" x14ac:dyDescent="0.3">
      <c r="A413" t="s">
        <v>1684</v>
      </c>
      <c r="B413" t="s">
        <v>1685</v>
      </c>
      <c r="C413" t="s">
        <v>41</v>
      </c>
      <c r="D413" t="s">
        <v>1686</v>
      </c>
      <c r="E413" t="s">
        <v>22</v>
      </c>
      <c r="F413" t="s">
        <v>100</v>
      </c>
      <c r="G413">
        <v>0</v>
      </c>
      <c r="H413">
        <v>35000</v>
      </c>
      <c r="J413" t="s">
        <v>1687</v>
      </c>
      <c r="K413">
        <v>0</v>
      </c>
      <c r="L413">
        <v>1869</v>
      </c>
      <c r="M413">
        <v>157</v>
      </c>
      <c r="N413" t="s">
        <v>2790</v>
      </c>
      <c r="O413" t="s">
        <v>2927</v>
      </c>
      <c r="P413">
        <v>29132</v>
      </c>
      <c r="Q413">
        <v>47354</v>
      </c>
      <c r="R413">
        <v>5727</v>
      </c>
      <c r="S413">
        <v>8.2685524707525762</v>
      </c>
      <c r="T413">
        <v>24942</v>
      </c>
      <c r="U413">
        <v>0.2296</v>
      </c>
    </row>
    <row r="414" spans="1:21" x14ac:dyDescent="0.3">
      <c r="A414" t="s">
        <v>1688</v>
      </c>
      <c r="B414" t="s">
        <v>1689</v>
      </c>
      <c r="C414" t="s">
        <v>20</v>
      </c>
      <c r="D414" t="s">
        <v>1690</v>
      </c>
      <c r="E414" t="s">
        <v>22</v>
      </c>
      <c r="F414" t="s">
        <v>100</v>
      </c>
      <c r="G414">
        <v>0</v>
      </c>
      <c r="H414">
        <v>409000</v>
      </c>
      <c r="J414" t="s">
        <v>1691</v>
      </c>
      <c r="K414">
        <v>0</v>
      </c>
      <c r="L414">
        <v>1883</v>
      </c>
      <c r="M414">
        <v>143</v>
      </c>
      <c r="N414" t="s">
        <v>2792</v>
      </c>
      <c r="O414" t="s">
        <v>2927</v>
      </c>
      <c r="P414">
        <v>43185.599999999999</v>
      </c>
      <c r="Q414">
        <v>64425.599999999999</v>
      </c>
      <c r="R414">
        <v>8129</v>
      </c>
      <c r="S414">
        <v>7.925402878582851</v>
      </c>
      <c r="T414">
        <v>147225</v>
      </c>
      <c r="U414">
        <v>5.5199999999999999E-2</v>
      </c>
    </row>
    <row r="415" spans="1:21" x14ac:dyDescent="0.3">
      <c r="A415" t="s">
        <v>1692</v>
      </c>
      <c r="B415" t="s">
        <v>1693</v>
      </c>
      <c r="C415" t="s">
        <v>20</v>
      </c>
      <c r="D415" t="s">
        <v>1694</v>
      </c>
      <c r="E415" t="s">
        <v>22</v>
      </c>
      <c r="F415" t="s">
        <v>62</v>
      </c>
      <c r="G415">
        <v>0</v>
      </c>
      <c r="H415">
        <v>13000</v>
      </c>
      <c r="J415" t="s">
        <v>1695</v>
      </c>
      <c r="K415">
        <v>0</v>
      </c>
      <c r="L415">
        <v>1987</v>
      </c>
      <c r="M415">
        <v>39</v>
      </c>
      <c r="N415" t="s">
        <v>2794</v>
      </c>
      <c r="O415" t="s">
        <v>2927</v>
      </c>
      <c r="P415">
        <v>8839.2999999999993</v>
      </c>
      <c r="Q415">
        <v>13991.5</v>
      </c>
      <c r="R415">
        <v>2258.3000000000002</v>
      </c>
      <c r="S415">
        <v>6.1955896027985649</v>
      </c>
      <c r="T415">
        <v>12052.4</v>
      </c>
      <c r="U415">
        <v>0.18740000000000001</v>
      </c>
    </row>
    <row r="416" spans="1:21" x14ac:dyDescent="0.3">
      <c r="A416" t="s">
        <v>1696</v>
      </c>
      <c r="B416" t="s">
        <v>1697</v>
      </c>
      <c r="C416" t="s">
        <v>20</v>
      </c>
      <c r="D416" t="s">
        <v>1698</v>
      </c>
      <c r="E416" t="s">
        <v>22</v>
      </c>
      <c r="F416" t="s">
        <v>53</v>
      </c>
      <c r="G416">
        <v>1</v>
      </c>
      <c r="H416">
        <v>54596</v>
      </c>
      <c r="J416" t="s">
        <v>1699</v>
      </c>
      <c r="K416">
        <v>0</v>
      </c>
      <c r="L416">
        <v>1865</v>
      </c>
      <c r="M416">
        <v>161</v>
      </c>
      <c r="N416" t="s">
        <v>2796</v>
      </c>
      <c r="O416" t="s">
        <v>2927</v>
      </c>
      <c r="P416">
        <v>85655.8</v>
      </c>
      <c r="Q416" t="s">
        <v>91</v>
      </c>
      <c r="R416">
        <v>0</v>
      </c>
      <c r="S416" t="e">
        <v>#VALUE!</v>
      </c>
      <c r="T416">
        <v>22320</v>
      </c>
      <c r="U416">
        <v>0</v>
      </c>
    </row>
    <row r="417" spans="1:21" x14ac:dyDescent="0.3">
      <c r="A417" t="s">
        <v>1700</v>
      </c>
      <c r="B417" t="s">
        <v>1701</v>
      </c>
      <c r="C417" t="s">
        <v>20</v>
      </c>
      <c r="D417" t="s">
        <v>1702</v>
      </c>
      <c r="E417" t="s">
        <v>22</v>
      </c>
      <c r="F417" t="s">
        <v>100</v>
      </c>
      <c r="G417">
        <v>0</v>
      </c>
      <c r="H417">
        <v>109000</v>
      </c>
      <c r="J417" t="s">
        <v>1703</v>
      </c>
      <c r="K417">
        <v>0</v>
      </c>
      <c r="L417">
        <v>1837</v>
      </c>
      <c r="M417">
        <v>189</v>
      </c>
      <c r="N417" t="s">
        <v>2798</v>
      </c>
      <c r="O417" t="s">
        <v>2927</v>
      </c>
      <c r="P417">
        <v>388572.9</v>
      </c>
      <c r="Q417">
        <v>415429.9</v>
      </c>
      <c r="R417">
        <v>24765</v>
      </c>
      <c r="S417">
        <v>16.774879870785384</v>
      </c>
      <c r="T417">
        <v>85259</v>
      </c>
      <c r="U417">
        <v>0.29049999999999998</v>
      </c>
    </row>
    <row r="418" spans="1:21" x14ac:dyDescent="0.3">
      <c r="A418" t="s">
        <v>1704</v>
      </c>
      <c r="B418" t="s">
        <v>1705</v>
      </c>
      <c r="C418" t="s">
        <v>20</v>
      </c>
      <c r="D418" t="s">
        <v>1706</v>
      </c>
      <c r="E418" t="s">
        <v>22</v>
      </c>
      <c r="F418" t="s">
        <v>53</v>
      </c>
      <c r="G418">
        <v>1</v>
      </c>
      <c r="H418">
        <v>66308</v>
      </c>
      <c r="I418" t="s">
        <v>1707</v>
      </c>
      <c r="J418" t="s">
        <v>1707</v>
      </c>
      <c r="K418">
        <v>1</v>
      </c>
      <c r="L418">
        <v>1937</v>
      </c>
      <c r="M418">
        <v>89</v>
      </c>
      <c r="N418" t="s">
        <v>2800</v>
      </c>
      <c r="O418" t="s">
        <v>2927</v>
      </c>
      <c r="P418">
        <v>125226.1</v>
      </c>
      <c r="Q418">
        <v>132123.1</v>
      </c>
      <c r="R418">
        <v>14807.7</v>
      </c>
      <c r="S418">
        <v>8.9225943259250258</v>
      </c>
      <c r="T418">
        <v>87637</v>
      </c>
      <c r="U418">
        <v>0.16900000000000001</v>
      </c>
    </row>
    <row r="419" spans="1:21" x14ac:dyDescent="0.3">
      <c r="A419" t="s">
        <v>1708</v>
      </c>
      <c r="B419" t="s">
        <v>1709</v>
      </c>
      <c r="C419" t="s">
        <v>20</v>
      </c>
      <c r="D419" t="s">
        <v>1710</v>
      </c>
      <c r="E419" t="s">
        <v>22</v>
      </c>
      <c r="F419" t="s">
        <v>62</v>
      </c>
      <c r="G419">
        <v>0</v>
      </c>
      <c r="H419">
        <v>64249</v>
      </c>
      <c r="I419" t="s">
        <v>1711</v>
      </c>
      <c r="J419" t="s">
        <v>1711</v>
      </c>
      <c r="K419">
        <v>1</v>
      </c>
      <c r="L419">
        <v>1866</v>
      </c>
      <c r="M419">
        <v>160</v>
      </c>
      <c r="N419" t="s">
        <v>2802</v>
      </c>
      <c r="O419" t="s">
        <v>2927</v>
      </c>
      <c r="P419">
        <v>89323.3</v>
      </c>
      <c r="Q419">
        <v>103189.7</v>
      </c>
      <c r="R419">
        <v>4486.6000000000004</v>
      </c>
      <c r="S419">
        <v>22.999531939553336</v>
      </c>
      <c r="T419">
        <v>23574.3</v>
      </c>
      <c r="U419">
        <v>0.1903</v>
      </c>
    </row>
    <row r="420" spans="1:21" x14ac:dyDescent="0.3">
      <c r="A420" t="s">
        <v>1712</v>
      </c>
      <c r="B420" t="s">
        <v>1713</v>
      </c>
      <c r="C420" t="s">
        <v>20</v>
      </c>
      <c r="D420" t="s">
        <v>1714</v>
      </c>
      <c r="E420" t="s">
        <v>22</v>
      </c>
      <c r="F420" t="s">
        <v>89</v>
      </c>
      <c r="G420">
        <v>0</v>
      </c>
      <c r="H420">
        <v>29651</v>
      </c>
      <c r="J420" t="s">
        <v>1715</v>
      </c>
      <c r="K420">
        <v>0</v>
      </c>
      <c r="L420">
        <v>1945</v>
      </c>
      <c r="M420">
        <v>81</v>
      </c>
      <c r="N420" t="s">
        <v>2804</v>
      </c>
      <c r="O420" t="s">
        <v>2927</v>
      </c>
      <c r="P420">
        <v>109006.3</v>
      </c>
      <c r="Q420">
        <v>184293.3</v>
      </c>
      <c r="R420">
        <v>13927</v>
      </c>
      <c r="S420">
        <v>13.232806778200617</v>
      </c>
      <c r="T420">
        <v>29553</v>
      </c>
      <c r="U420">
        <v>0.4713</v>
      </c>
    </row>
    <row r="421" spans="1:21" x14ac:dyDescent="0.3">
      <c r="A421" t="s">
        <v>1716</v>
      </c>
      <c r="B421" t="s">
        <v>1717</v>
      </c>
      <c r="C421" t="s">
        <v>20</v>
      </c>
      <c r="D421" t="s">
        <v>1718</v>
      </c>
      <c r="E421" t="s">
        <v>22</v>
      </c>
      <c r="F421" t="s">
        <v>67</v>
      </c>
      <c r="G421">
        <v>0</v>
      </c>
      <c r="H421">
        <v>364000</v>
      </c>
      <c r="J421" t="s">
        <v>1719</v>
      </c>
      <c r="K421">
        <v>0</v>
      </c>
      <c r="L421">
        <v>1962</v>
      </c>
      <c r="M421">
        <v>64</v>
      </c>
      <c r="N421" t="s">
        <v>2806</v>
      </c>
      <c r="O421" t="s">
        <v>2927</v>
      </c>
      <c r="P421">
        <v>179518.1</v>
      </c>
      <c r="Q421">
        <v>186777.1</v>
      </c>
      <c r="R421">
        <v>8425</v>
      </c>
      <c r="S421">
        <v>22.16938872403561</v>
      </c>
      <c r="T421">
        <v>60372</v>
      </c>
      <c r="U421">
        <v>0.1396</v>
      </c>
    </row>
    <row r="422" spans="1:21" x14ac:dyDescent="0.3">
      <c r="A422" t="s">
        <v>1720</v>
      </c>
      <c r="B422" t="s">
        <v>1721</v>
      </c>
      <c r="C422" t="s">
        <v>1722</v>
      </c>
      <c r="D422" t="s">
        <v>1723</v>
      </c>
      <c r="E422" t="s">
        <v>22</v>
      </c>
      <c r="F422" t="s">
        <v>95</v>
      </c>
      <c r="G422">
        <v>0</v>
      </c>
      <c r="H422">
        <v>3522</v>
      </c>
      <c r="J422" t="s">
        <v>1724</v>
      </c>
      <c r="K422">
        <v>0</v>
      </c>
      <c r="L422">
        <v>2009</v>
      </c>
      <c r="M422">
        <v>17</v>
      </c>
      <c r="N422" t="s">
        <v>2808</v>
      </c>
      <c r="O422" t="s">
        <v>2928</v>
      </c>
      <c r="P422">
        <v>11337.8</v>
      </c>
      <c r="Q422">
        <v>10471</v>
      </c>
      <c r="R422">
        <v>690.1</v>
      </c>
      <c r="S422">
        <v>15.173163309665265</v>
      </c>
      <c r="T422">
        <v>2896.3</v>
      </c>
      <c r="U422">
        <v>0.23830000000000001</v>
      </c>
    </row>
    <row r="423" spans="1:21" x14ac:dyDescent="0.3">
      <c r="A423" t="s">
        <v>1725</v>
      </c>
      <c r="B423" t="s">
        <v>1726</v>
      </c>
      <c r="C423" t="s">
        <v>20</v>
      </c>
      <c r="D423" t="s">
        <v>1727</v>
      </c>
      <c r="E423" t="s">
        <v>22</v>
      </c>
      <c r="F423" t="s">
        <v>53</v>
      </c>
      <c r="G423">
        <v>1</v>
      </c>
      <c r="H423">
        <v>34000</v>
      </c>
      <c r="J423" t="s">
        <v>1728</v>
      </c>
      <c r="K423">
        <v>0</v>
      </c>
      <c r="L423">
        <v>1853</v>
      </c>
      <c r="M423">
        <v>173</v>
      </c>
      <c r="N423" t="s">
        <v>2810</v>
      </c>
      <c r="O423" t="s">
        <v>2927</v>
      </c>
      <c r="P423">
        <v>66739.7</v>
      </c>
      <c r="Q423">
        <v>75541.7</v>
      </c>
      <c r="R423">
        <v>8901</v>
      </c>
      <c r="S423">
        <v>8.4868778788900112</v>
      </c>
      <c r="T423">
        <v>48828</v>
      </c>
      <c r="U423">
        <v>0.18229999999999999</v>
      </c>
    </row>
    <row r="424" spans="1:21" x14ac:dyDescent="0.3">
      <c r="A424" t="s">
        <v>1729</v>
      </c>
      <c r="B424" t="s">
        <v>1730</v>
      </c>
      <c r="C424" t="s">
        <v>20</v>
      </c>
      <c r="D424" t="s">
        <v>1731</v>
      </c>
      <c r="E424" t="s">
        <v>22</v>
      </c>
      <c r="F424" t="s">
        <v>95</v>
      </c>
      <c r="G424">
        <v>0</v>
      </c>
      <c r="H424">
        <v>194040</v>
      </c>
      <c r="J424" t="s">
        <v>1732</v>
      </c>
      <c r="K424">
        <v>0</v>
      </c>
      <c r="L424">
        <v>1923</v>
      </c>
      <c r="M424">
        <v>103</v>
      </c>
      <c r="N424" t="s">
        <v>2812</v>
      </c>
      <c r="O424" t="s">
        <v>2928</v>
      </c>
      <c r="P424">
        <v>187852</v>
      </c>
      <c r="Q424">
        <v>234346</v>
      </c>
      <c r="R424">
        <v>19306</v>
      </c>
      <c r="S424">
        <v>12.138506163886875</v>
      </c>
      <c r="T424">
        <v>95716</v>
      </c>
      <c r="U424">
        <v>0.20169999999999999</v>
      </c>
    </row>
    <row r="425" spans="1:21" x14ac:dyDescent="0.3">
      <c r="A425" t="s">
        <v>1733</v>
      </c>
      <c r="B425" t="s">
        <v>1734</v>
      </c>
      <c r="C425" t="s">
        <v>20</v>
      </c>
      <c r="D425" t="s">
        <v>1735</v>
      </c>
      <c r="E425" t="s">
        <v>22</v>
      </c>
      <c r="F425" t="s">
        <v>153</v>
      </c>
      <c r="G425">
        <v>0</v>
      </c>
      <c r="H425">
        <v>5987</v>
      </c>
      <c r="J425" t="s">
        <v>1736</v>
      </c>
      <c r="K425">
        <v>0</v>
      </c>
      <c r="L425">
        <v>1908</v>
      </c>
      <c r="M425">
        <v>118</v>
      </c>
      <c r="N425" t="s">
        <v>2814</v>
      </c>
      <c r="O425" t="s">
        <v>2927</v>
      </c>
      <c r="P425">
        <v>91275.199999999997</v>
      </c>
      <c r="Q425">
        <v>122979.2</v>
      </c>
      <c r="R425">
        <v>6777</v>
      </c>
      <c r="S425">
        <v>18.146554522650138</v>
      </c>
      <c r="T425">
        <v>11830</v>
      </c>
      <c r="U425">
        <v>0.57289999999999996</v>
      </c>
    </row>
    <row r="426" spans="1:21" x14ac:dyDescent="0.3">
      <c r="A426" t="s">
        <v>1737</v>
      </c>
      <c r="B426" t="s">
        <v>1738</v>
      </c>
      <c r="C426" t="s">
        <v>20</v>
      </c>
      <c r="D426" t="s">
        <v>1739</v>
      </c>
      <c r="E426" t="s">
        <v>22</v>
      </c>
      <c r="F426" t="s">
        <v>33</v>
      </c>
      <c r="G426">
        <v>0</v>
      </c>
      <c r="H426">
        <v>125000</v>
      </c>
      <c r="J426" t="s">
        <v>1740</v>
      </c>
      <c r="K426">
        <v>0</v>
      </c>
      <c r="L426">
        <v>1956</v>
      </c>
      <c r="M426">
        <v>70</v>
      </c>
      <c r="N426" t="s">
        <v>2816</v>
      </c>
      <c r="O426" t="s">
        <v>2927</v>
      </c>
      <c r="P426">
        <v>193584.2</v>
      </c>
      <c r="Q426">
        <v>224967.2</v>
      </c>
      <c r="R426">
        <v>11138</v>
      </c>
      <c r="S426">
        <v>20.198168432393608</v>
      </c>
      <c r="T426">
        <v>44556</v>
      </c>
      <c r="U426">
        <v>0.25</v>
      </c>
    </row>
    <row r="427" spans="1:21" x14ac:dyDescent="0.3">
      <c r="A427" t="s">
        <v>1741</v>
      </c>
      <c r="B427" t="s">
        <v>1742</v>
      </c>
      <c r="C427" t="s">
        <v>20</v>
      </c>
      <c r="D427" t="s">
        <v>1743</v>
      </c>
      <c r="E427" t="s">
        <v>22</v>
      </c>
      <c r="F427" t="s">
        <v>95</v>
      </c>
      <c r="G427">
        <v>0</v>
      </c>
      <c r="H427">
        <v>4000</v>
      </c>
      <c r="J427" t="s">
        <v>1744</v>
      </c>
      <c r="K427">
        <v>0</v>
      </c>
      <c r="L427">
        <v>2023</v>
      </c>
      <c r="M427">
        <v>3</v>
      </c>
      <c r="N427" t="s">
        <v>2818</v>
      </c>
      <c r="O427" t="s">
        <v>2927</v>
      </c>
      <c r="P427">
        <v>17454.3</v>
      </c>
      <c r="Q427">
        <v>26199</v>
      </c>
      <c r="R427">
        <v>1367.1</v>
      </c>
      <c r="S427">
        <v>19.16392363396972</v>
      </c>
      <c r="T427">
        <v>4735.2</v>
      </c>
      <c r="U427">
        <v>0.28870000000000001</v>
      </c>
    </row>
    <row r="428" spans="1:21" x14ac:dyDescent="0.3">
      <c r="A428" t="s">
        <v>1745</v>
      </c>
      <c r="B428" t="s">
        <v>1746</v>
      </c>
      <c r="C428" t="s">
        <v>41</v>
      </c>
      <c r="D428" t="s">
        <v>1747</v>
      </c>
      <c r="E428" t="s">
        <v>22</v>
      </c>
      <c r="F428" t="s">
        <v>67</v>
      </c>
      <c r="G428">
        <v>0</v>
      </c>
      <c r="H428">
        <v>39000</v>
      </c>
      <c r="J428" t="s">
        <v>1748</v>
      </c>
      <c r="K428">
        <v>0</v>
      </c>
      <c r="L428">
        <v>1938</v>
      </c>
      <c r="M428">
        <v>88</v>
      </c>
      <c r="N428" t="s">
        <v>2820</v>
      </c>
      <c r="O428" t="s">
        <v>2927</v>
      </c>
      <c r="P428">
        <v>27286.1</v>
      </c>
      <c r="Q428">
        <v>33034.800000000003</v>
      </c>
      <c r="R428">
        <v>1961.4</v>
      </c>
      <c r="S428">
        <v>16.842459467727135</v>
      </c>
      <c r="T428">
        <v>15524</v>
      </c>
      <c r="U428">
        <v>0.1263</v>
      </c>
    </row>
    <row r="429" spans="1:21" x14ac:dyDescent="0.3">
      <c r="A429" t="s">
        <v>1749</v>
      </c>
      <c r="B429" t="s">
        <v>1750</v>
      </c>
      <c r="C429" t="s">
        <v>20</v>
      </c>
      <c r="D429" t="s">
        <v>1751</v>
      </c>
      <c r="E429" t="s">
        <v>22</v>
      </c>
      <c r="F429" t="s">
        <v>28</v>
      </c>
      <c r="G429">
        <v>0</v>
      </c>
      <c r="H429">
        <v>16500</v>
      </c>
      <c r="J429" t="s">
        <v>1752</v>
      </c>
      <c r="K429">
        <v>0</v>
      </c>
      <c r="L429">
        <v>1993</v>
      </c>
      <c r="M429">
        <v>33</v>
      </c>
      <c r="N429" t="s">
        <v>2822</v>
      </c>
      <c r="O429" t="s">
        <v>2927</v>
      </c>
      <c r="P429">
        <v>73573.2</v>
      </c>
      <c r="Q429">
        <v>101096.2</v>
      </c>
      <c r="R429">
        <v>4644</v>
      </c>
      <c r="S429">
        <v>21.769207579672695</v>
      </c>
      <c r="T429">
        <v>9110</v>
      </c>
      <c r="U429">
        <v>0.50980000000000003</v>
      </c>
    </row>
    <row r="430" spans="1:21" x14ac:dyDescent="0.3">
      <c r="A430" t="s">
        <v>1753</v>
      </c>
      <c r="B430" t="s">
        <v>1754</v>
      </c>
      <c r="C430" t="s">
        <v>41</v>
      </c>
      <c r="D430" t="s">
        <v>1755</v>
      </c>
      <c r="E430" t="s">
        <v>22</v>
      </c>
      <c r="F430" t="s">
        <v>43</v>
      </c>
      <c r="G430">
        <v>0</v>
      </c>
      <c r="H430">
        <v>11500</v>
      </c>
      <c r="J430" t="s">
        <v>1756</v>
      </c>
      <c r="K430">
        <v>0</v>
      </c>
      <c r="L430">
        <v>1978</v>
      </c>
      <c r="M430">
        <v>48</v>
      </c>
      <c r="N430" t="s">
        <v>2824</v>
      </c>
      <c r="O430" t="s">
        <v>2927</v>
      </c>
      <c r="P430">
        <v>15642.9</v>
      </c>
      <c r="Q430">
        <v>16950.599999999999</v>
      </c>
      <c r="R430">
        <v>818</v>
      </c>
      <c r="S430">
        <v>20.722004889975548</v>
      </c>
      <c r="T430">
        <v>3587.3</v>
      </c>
      <c r="U430">
        <v>0.22800000000000001</v>
      </c>
    </row>
    <row r="431" spans="1:21" x14ac:dyDescent="0.3">
      <c r="A431" t="s">
        <v>1757</v>
      </c>
      <c r="B431" t="s">
        <v>1758</v>
      </c>
      <c r="C431" t="s">
        <v>20</v>
      </c>
      <c r="D431" t="s">
        <v>1759</v>
      </c>
      <c r="E431" t="s">
        <v>22</v>
      </c>
      <c r="F431" t="s">
        <v>53</v>
      </c>
      <c r="G431">
        <v>1</v>
      </c>
      <c r="H431">
        <v>37899</v>
      </c>
      <c r="J431" t="s">
        <v>1760</v>
      </c>
      <c r="K431">
        <v>0</v>
      </c>
      <c r="L431">
        <v>1872</v>
      </c>
      <c r="M431">
        <v>154</v>
      </c>
      <c r="N431" t="s">
        <v>2826</v>
      </c>
      <c r="O431" t="s">
        <v>2927</v>
      </c>
      <c r="P431">
        <v>61596.5</v>
      </c>
      <c r="Q431" t="s">
        <v>91</v>
      </c>
      <c r="R431">
        <v>0</v>
      </c>
      <c r="S431" t="e">
        <v>#VALUE!</v>
      </c>
      <c r="T431">
        <v>18425</v>
      </c>
      <c r="U431">
        <v>0</v>
      </c>
    </row>
    <row r="432" spans="1:21" x14ac:dyDescent="0.3">
      <c r="A432" t="s">
        <v>1761</v>
      </c>
      <c r="B432" t="s">
        <v>1762</v>
      </c>
      <c r="C432" t="s">
        <v>20</v>
      </c>
      <c r="D432" t="s">
        <v>1763</v>
      </c>
      <c r="E432" t="s">
        <v>22</v>
      </c>
      <c r="F432" t="s">
        <v>43</v>
      </c>
      <c r="G432">
        <v>0</v>
      </c>
      <c r="H432">
        <v>7800</v>
      </c>
      <c r="I432" t="s">
        <v>1764</v>
      </c>
      <c r="J432" t="s">
        <v>1764</v>
      </c>
      <c r="K432">
        <v>1</v>
      </c>
      <c r="L432">
        <v>1966</v>
      </c>
      <c r="M432">
        <v>60</v>
      </c>
      <c r="N432" t="s">
        <v>2828</v>
      </c>
      <c r="O432" t="s">
        <v>2927</v>
      </c>
      <c r="P432">
        <v>15246.5</v>
      </c>
      <c r="Q432">
        <v>14791.9</v>
      </c>
      <c r="R432">
        <v>434.8</v>
      </c>
      <c r="S432">
        <v>34.020009199632014</v>
      </c>
      <c r="T432">
        <v>2332.3000000000002</v>
      </c>
      <c r="U432">
        <v>0.18640000000000001</v>
      </c>
    </row>
    <row r="433" spans="1:21" x14ac:dyDescent="0.3">
      <c r="A433" t="s">
        <v>1765</v>
      </c>
      <c r="B433" t="s">
        <v>1766</v>
      </c>
      <c r="C433" t="s">
        <v>20</v>
      </c>
      <c r="D433" t="s">
        <v>1767</v>
      </c>
      <c r="E433" t="s">
        <v>22</v>
      </c>
      <c r="F433" t="s">
        <v>100</v>
      </c>
      <c r="G433">
        <v>0</v>
      </c>
      <c r="H433">
        <v>133000</v>
      </c>
      <c r="J433" t="s">
        <v>1768</v>
      </c>
      <c r="K433">
        <v>0</v>
      </c>
      <c r="L433">
        <v>1935</v>
      </c>
      <c r="M433">
        <v>91</v>
      </c>
      <c r="N433" t="s">
        <v>2830</v>
      </c>
      <c r="O433" t="s">
        <v>2927</v>
      </c>
      <c r="P433">
        <v>22881.599999999999</v>
      </c>
      <c r="Q433">
        <v>29987.599999999999</v>
      </c>
      <c r="R433">
        <v>2586</v>
      </c>
      <c r="S433">
        <v>11.59613302397525</v>
      </c>
      <c r="T433">
        <v>55131</v>
      </c>
      <c r="U433">
        <v>4.6899999999999997E-2</v>
      </c>
    </row>
    <row r="434" spans="1:21" x14ac:dyDescent="0.3">
      <c r="A434" t="s">
        <v>1769</v>
      </c>
      <c r="B434" t="s">
        <v>1770</v>
      </c>
      <c r="C434" t="s">
        <v>20</v>
      </c>
      <c r="D434" t="s">
        <v>1771</v>
      </c>
      <c r="E434" t="s">
        <v>22</v>
      </c>
      <c r="F434" t="s">
        <v>53</v>
      </c>
      <c r="G434">
        <v>1</v>
      </c>
      <c r="H434">
        <v>68520</v>
      </c>
      <c r="I434" t="s">
        <v>1772</v>
      </c>
      <c r="J434" t="s">
        <v>1772</v>
      </c>
      <c r="K434">
        <v>1</v>
      </c>
      <c r="L434">
        <v>1863</v>
      </c>
      <c r="M434">
        <v>163</v>
      </c>
      <c r="N434" t="s">
        <v>2832</v>
      </c>
      <c r="O434" t="s">
        <v>2927</v>
      </c>
      <c r="P434">
        <v>84925</v>
      </c>
      <c r="Q434" t="s">
        <v>91</v>
      </c>
      <c r="R434">
        <v>0</v>
      </c>
      <c r="S434" t="e">
        <v>#VALUE!</v>
      </c>
      <c r="T434">
        <v>26354</v>
      </c>
      <c r="U434">
        <v>0</v>
      </c>
    </row>
    <row r="435" spans="1:21" x14ac:dyDescent="0.3">
      <c r="A435" t="s">
        <v>1773</v>
      </c>
      <c r="B435" t="s">
        <v>1774</v>
      </c>
      <c r="C435" t="s">
        <v>20</v>
      </c>
      <c r="D435" t="s">
        <v>1775</v>
      </c>
      <c r="E435" t="s">
        <v>22</v>
      </c>
      <c r="F435" t="s">
        <v>28</v>
      </c>
      <c r="G435">
        <v>0</v>
      </c>
      <c r="H435">
        <v>34000</v>
      </c>
      <c r="J435" t="s">
        <v>1776</v>
      </c>
      <c r="K435">
        <v>0</v>
      </c>
      <c r="L435">
        <v>2009</v>
      </c>
      <c r="M435">
        <v>17</v>
      </c>
      <c r="N435" t="s">
        <v>2834</v>
      </c>
      <c r="O435" t="s">
        <v>2928</v>
      </c>
      <c r="P435">
        <v>155223.1</v>
      </c>
      <c r="Q435">
        <v>156341.1</v>
      </c>
      <c r="R435">
        <v>6312</v>
      </c>
      <c r="S435">
        <v>24.768868821292777</v>
      </c>
      <c r="T435">
        <v>52017</v>
      </c>
      <c r="U435">
        <v>0.12130000000000001</v>
      </c>
    </row>
    <row r="436" spans="1:21" x14ac:dyDescent="0.3">
      <c r="A436" t="s">
        <v>1777</v>
      </c>
      <c r="B436" t="s">
        <v>1778</v>
      </c>
      <c r="C436" t="s">
        <v>20</v>
      </c>
      <c r="D436" t="s">
        <v>1779</v>
      </c>
      <c r="E436" t="s">
        <v>22</v>
      </c>
      <c r="F436" t="s">
        <v>80</v>
      </c>
      <c r="G436">
        <v>0</v>
      </c>
      <c r="H436">
        <v>1423</v>
      </c>
      <c r="J436" t="s">
        <v>1780</v>
      </c>
      <c r="K436">
        <v>0</v>
      </c>
      <c r="L436">
        <v>1972</v>
      </c>
      <c r="M436">
        <v>54</v>
      </c>
      <c r="N436" t="s">
        <v>2836</v>
      </c>
      <c r="O436" t="s">
        <v>2927</v>
      </c>
      <c r="P436">
        <v>12321.4</v>
      </c>
      <c r="Q436">
        <v>19227.8</v>
      </c>
      <c r="R436">
        <v>1035.2</v>
      </c>
      <c r="S436">
        <v>18.573995363214838</v>
      </c>
      <c r="T436">
        <v>1748.9</v>
      </c>
      <c r="U436">
        <v>0.59189999999999998</v>
      </c>
    </row>
    <row r="437" spans="1:21" x14ac:dyDescent="0.3">
      <c r="A437" t="s">
        <v>1781</v>
      </c>
      <c r="B437" t="s">
        <v>1782</v>
      </c>
      <c r="C437" t="s">
        <v>41</v>
      </c>
      <c r="D437" t="s">
        <v>1783</v>
      </c>
      <c r="E437" t="s">
        <v>22</v>
      </c>
      <c r="F437" t="s">
        <v>67</v>
      </c>
      <c r="G437">
        <v>0</v>
      </c>
      <c r="H437">
        <v>39000</v>
      </c>
      <c r="I437" t="s">
        <v>1784</v>
      </c>
      <c r="J437" t="s">
        <v>1784</v>
      </c>
      <c r="K437">
        <v>1</v>
      </c>
      <c r="L437">
        <v>1990</v>
      </c>
      <c r="M437">
        <v>36</v>
      </c>
      <c r="N437" t="s">
        <v>2838</v>
      </c>
      <c r="O437" t="s">
        <v>2927</v>
      </c>
      <c r="P437">
        <v>30378.799999999999</v>
      </c>
      <c r="Q437">
        <v>32748.5</v>
      </c>
      <c r="R437">
        <v>1861</v>
      </c>
      <c r="S437">
        <v>17.597259537882859</v>
      </c>
      <c r="T437">
        <v>11982.1</v>
      </c>
      <c r="U437">
        <v>0.15529999999999999</v>
      </c>
    </row>
    <row r="438" spans="1:21" x14ac:dyDescent="0.3">
      <c r="A438" t="s">
        <v>1785</v>
      </c>
      <c r="B438" t="s">
        <v>1786</v>
      </c>
      <c r="C438" t="s">
        <v>20</v>
      </c>
      <c r="D438" t="s">
        <v>1787</v>
      </c>
      <c r="E438" t="s">
        <v>22</v>
      </c>
      <c r="F438" t="s">
        <v>28</v>
      </c>
      <c r="G438">
        <v>0</v>
      </c>
      <c r="H438">
        <v>29287</v>
      </c>
      <c r="J438" t="s">
        <v>1788</v>
      </c>
      <c r="K438">
        <v>0</v>
      </c>
      <c r="L438">
        <v>1862</v>
      </c>
      <c r="M438">
        <v>164</v>
      </c>
      <c r="N438" t="s">
        <v>2840</v>
      </c>
      <c r="O438" t="s">
        <v>2927</v>
      </c>
      <c r="P438">
        <v>157236.9</v>
      </c>
      <c r="Q438">
        <v>188542.9</v>
      </c>
      <c r="R438">
        <v>12438</v>
      </c>
      <c r="S438">
        <v>15.158618748995014</v>
      </c>
      <c r="T438">
        <v>24510</v>
      </c>
      <c r="U438">
        <v>0.50749999999999995</v>
      </c>
    </row>
    <row r="439" spans="1:21" x14ac:dyDescent="0.3">
      <c r="A439" t="s">
        <v>1789</v>
      </c>
      <c r="B439" t="s">
        <v>1790</v>
      </c>
      <c r="C439" t="s">
        <v>41</v>
      </c>
      <c r="D439" t="s">
        <v>1791</v>
      </c>
      <c r="E439" t="s">
        <v>22</v>
      </c>
      <c r="F439" t="s">
        <v>28</v>
      </c>
      <c r="G439">
        <v>0</v>
      </c>
      <c r="H439">
        <v>113200</v>
      </c>
      <c r="J439" t="s">
        <v>1792</v>
      </c>
      <c r="K439">
        <v>0</v>
      </c>
      <c r="L439">
        <v>1968</v>
      </c>
      <c r="M439">
        <v>58</v>
      </c>
      <c r="N439" t="s">
        <v>2842</v>
      </c>
      <c r="O439" t="s">
        <v>2927</v>
      </c>
      <c r="P439">
        <v>34380.699999999997</v>
      </c>
      <c r="Q439">
        <v>53176.7</v>
      </c>
      <c r="R439">
        <v>7755</v>
      </c>
      <c r="S439">
        <v>6.8570857511283041</v>
      </c>
      <c r="T439">
        <v>59070</v>
      </c>
      <c r="U439">
        <v>0.1313</v>
      </c>
    </row>
    <row r="440" spans="1:21" x14ac:dyDescent="0.3">
      <c r="A440" t="s">
        <v>1793</v>
      </c>
      <c r="B440" t="s">
        <v>1794</v>
      </c>
      <c r="C440" t="s">
        <v>20</v>
      </c>
      <c r="D440" t="s">
        <v>1795</v>
      </c>
      <c r="E440" t="s">
        <v>22</v>
      </c>
      <c r="F440" t="s">
        <v>28</v>
      </c>
      <c r="G440">
        <v>0</v>
      </c>
      <c r="H440">
        <v>350625</v>
      </c>
      <c r="I440" t="s">
        <v>1796</v>
      </c>
      <c r="J440" t="s">
        <v>1796</v>
      </c>
      <c r="K440">
        <v>1</v>
      </c>
      <c r="L440">
        <v>1907</v>
      </c>
      <c r="M440">
        <v>119</v>
      </c>
      <c r="N440" t="s">
        <v>2844</v>
      </c>
      <c r="O440" t="s">
        <v>2927</v>
      </c>
      <c r="P440">
        <v>98461.8</v>
      </c>
      <c r="Q440">
        <v>121192.8</v>
      </c>
      <c r="R440">
        <v>12212</v>
      </c>
      <c r="S440">
        <v>9.9240746806419917</v>
      </c>
      <c r="T440">
        <v>88661</v>
      </c>
      <c r="U440">
        <v>0.13769999999999999</v>
      </c>
    </row>
    <row r="441" spans="1:21" x14ac:dyDescent="0.3">
      <c r="A441" t="s">
        <v>1797</v>
      </c>
      <c r="B441" t="s">
        <v>1798</v>
      </c>
      <c r="C441" t="s">
        <v>20</v>
      </c>
      <c r="D441" t="s">
        <v>1799</v>
      </c>
      <c r="E441" t="s">
        <v>22</v>
      </c>
      <c r="F441" t="s">
        <v>28</v>
      </c>
      <c r="G441">
        <v>0</v>
      </c>
      <c r="H441">
        <v>28500</v>
      </c>
      <c r="J441" t="s">
        <v>1800</v>
      </c>
      <c r="K441">
        <v>0</v>
      </c>
      <c r="L441">
        <v>1997</v>
      </c>
      <c r="M441">
        <v>29</v>
      </c>
      <c r="N441" t="s">
        <v>2846</v>
      </c>
      <c r="O441" t="s">
        <v>2927</v>
      </c>
      <c r="P441">
        <v>52918.400000000001</v>
      </c>
      <c r="Q441">
        <v>68129.399999999994</v>
      </c>
      <c r="R441">
        <v>4455</v>
      </c>
      <c r="S441">
        <v>15.292794612794612</v>
      </c>
      <c r="T441">
        <v>16099</v>
      </c>
      <c r="U441">
        <v>0.2767</v>
      </c>
    </row>
    <row r="442" spans="1:21" x14ac:dyDescent="0.3">
      <c r="A442" t="s">
        <v>1801</v>
      </c>
      <c r="B442" t="s">
        <v>1802</v>
      </c>
      <c r="C442" t="s">
        <v>20</v>
      </c>
      <c r="D442" t="s">
        <v>1803</v>
      </c>
      <c r="E442" t="s">
        <v>22</v>
      </c>
      <c r="F442" t="s">
        <v>33</v>
      </c>
      <c r="G442">
        <v>0</v>
      </c>
      <c r="H442">
        <v>400000</v>
      </c>
      <c r="J442" t="s">
        <v>1804</v>
      </c>
      <c r="K442">
        <v>0</v>
      </c>
      <c r="L442">
        <v>1974</v>
      </c>
      <c r="M442">
        <v>52</v>
      </c>
      <c r="N442" t="s">
        <v>2848</v>
      </c>
      <c r="O442" t="s">
        <v>2927</v>
      </c>
      <c r="P442">
        <v>265655.3</v>
      </c>
      <c r="Q442">
        <v>321287.3</v>
      </c>
      <c r="R442">
        <v>23325</v>
      </c>
      <c r="S442">
        <v>13.77437513397642</v>
      </c>
      <c r="T442">
        <v>447567</v>
      </c>
      <c r="U442">
        <v>5.21E-2</v>
      </c>
    </row>
    <row r="443" spans="1:21" x14ac:dyDescent="0.3">
      <c r="A443" t="s">
        <v>1805</v>
      </c>
      <c r="B443" t="s">
        <v>1806</v>
      </c>
      <c r="C443" t="s">
        <v>20</v>
      </c>
      <c r="D443" t="s">
        <v>1807</v>
      </c>
      <c r="E443" t="s">
        <v>22</v>
      </c>
      <c r="F443" t="s">
        <v>33</v>
      </c>
      <c r="G443">
        <v>0</v>
      </c>
      <c r="H443">
        <v>89950</v>
      </c>
      <c r="J443" t="s">
        <v>1808</v>
      </c>
      <c r="K443">
        <v>0</v>
      </c>
      <c r="L443">
        <v>1978</v>
      </c>
      <c r="M443">
        <v>48</v>
      </c>
      <c r="N443" t="s">
        <v>2850</v>
      </c>
      <c r="O443" t="s">
        <v>2927</v>
      </c>
      <c r="P443">
        <v>12590</v>
      </c>
      <c r="Q443">
        <v>17752.3</v>
      </c>
      <c r="R443">
        <v>2612.8000000000002</v>
      </c>
      <c r="S443">
        <v>6.7943585425597055</v>
      </c>
      <c r="T443">
        <v>17364.8</v>
      </c>
      <c r="U443">
        <v>0.15049999999999999</v>
      </c>
    </row>
    <row r="444" spans="1:21" x14ac:dyDescent="0.3">
      <c r="A444" t="s">
        <v>1809</v>
      </c>
      <c r="B444" t="s">
        <v>1810</v>
      </c>
      <c r="C444" t="s">
        <v>20</v>
      </c>
      <c r="D444" t="s">
        <v>1811</v>
      </c>
      <c r="E444" t="s">
        <v>22</v>
      </c>
      <c r="F444" t="s">
        <v>153</v>
      </c>
      <c r="G444">
        <v>0</v>
      </c>
      <c r="H444">
        <v>9785</v>
      </c>
      <c r="J444" t="s">
        <v>1812</v>
      </c>
      <c r="K444">
        <v>0</v>
      </c>
      <c r="L444">
        <v>1980</v>
      </c>
      <c r="M444">
        <v>46</v>
      </c>
      <c r="N444" t="s">
        <v>2852</v>
      </c>
      <c r="O444" t="s">
        <v>2927</v>
      </c>
      <c r="P444">
        <v>61192.7</v>
      </c>
      <c r="Q444">
        <v>71087.7</v>
      </c>
      <c r="R444">
        <v>7599</v>
      </c>
      <c r="S444">
        <v>9.3548756415317804</v>
      </c>
      <c r="T444">
        <v>115939</v>
      </c>
      <c r="U444">
        <v>6.5500000000000003E-2</v>
      </c>
    </row>
    <row r="445" spans="1:21" x14ac:dyDescent="0.3">
      <c r="A445" t="s">
        <v>1813</v>
      </c>
      <c r="B445" t="s">
        <v>1814</v>
      </c>
      <c r="C445" t="s">
        <v>20</v>
      </c>
      <c r="D445" t="s">
        <v>1815</v>
      </c>
      <c r="E445" t="s">
        <v>22</v>
      </c>
      <c r="F445" t="s">
        <v>80</v>
      </c>
      <c r="G445">
        <v>0</v>
      </c>
      <c r="H445">
        <v>542</v>
      </c>
      <c r="I445" t="s">
        <v>1816</v>
      </c>
      <c r="J445" t="s">
        <v>1816</v>
      </c>
      <c r="K445">
        <v>1</v>
      </c>
      <c r="L445">
        <v>1983</v>
      </c>
      <c r="M445">
        <v>43</v>
      </c>
      <c r="N445" t="s">
        <v>2854</v>
      </c>
      <c r="O445" t="s">
        <v>2927</v>
      </c>
      <c r="P445">
        <v>40923</v>
      </c>
      <c r="Q445">
        <v>53835.3</v>
      </c>
      <c r="R445">
        <v>2213.1999999999998</v>
      </c>
      <c r="S445">
        <v>24.324643050786197</v>
      </c>
      <c r="T445">
        <v>5817.4</v>
      </c>
      <c r="U445">
        <v>0.38040000000000002</v>
      </c>
    </row>
    <row r="446" spans="1:21" x14ac:dyDescent="0.3">
      <c r="A446" t="s">
        <v>1817</v>
      </c>
      <c r="B446" t="s">
        <v>1818</v>
      </c>
      <c r="C446" t="s">
        <v>20</v>
      </c>
      <c r="D446" t="s">
        <v>1819</v>
      </c>
      <c r="E446" t="s">
        <v>22</v>
      </c>
      <c r="F446" t="s">
        <v>28</v>
      </c>
      <c r="G446">
        <v>0</v>
      </c>
      <c r="H446">
        <v>16750</v>
      </c>
      <c r="I446" t="s">
        <v>1820</v>
      </c>
      <c r="J446" t="s">
        <v>1820</v>
      </c>
      <c r="K446">
        <v>1</v>
      </c>
      <c r="L446">
        <v>2022</v>
      </c>
      <c r="M446">
        <v>4</v>
      </c>
      <c r="N446" t="s">
        <v>2856</v>
      </c>
      <c r="O446" t="s">
        <v>2927</v>
      </c>
      <c r="P446">
        <v>24147.4</v>
      </c>
      <c r="Q446">
        <v>24996.400000000001</v>
      </c>
      <c r="R446">
        <v>1357</v>
      </c>
      <c r="S446">
        <v>18.420338983050847</v>
      </c>
      <c r="T446">
        <v>5503</v>
      </c>
      <c r="U446">
        <v>0.24660000000000001</v>
      </c>
    </row>
    <row r="447" spans="1:21" x14ac:dyDescent="0.3">
      <c r="A447" t="s">
        <v>1821</v>
      </c>
      <c r="B447" t="s">
        <v>1822</v>
      </c>
      <c r="C447" t="s">
        <v>41</v>
      </c>
      <c r="D447" t="s">
        <v>1823</v>
      </c>
      <c r="E447" t="s">
        <v>22</v>
      </c>
      <c r="F447" t="s">
        <v>43</v>
      </c>
      <c r="G447">
        <v>0</v>
      </c>
      <c r="H447">
        <v>927</v>
      </c>
      <c r="J447" t="s">
        <v>1824</v>
      </c>
      <c r="K447">
        <v>0</v>
      </c>
      <c r="L447">
        <v>1995</v>
      </c>
      <c r="M447">
        <v>31</v>
      </c>
      <c r="N447" t="s">
        <v>2858</v>
      </c>
      <c r="O447" t="s">
        <v>2927</v>
      </c>
      <c r="P447">
        <v>20902.099999999999</v>
      </c>
      <c r="Q447">
        <v>22119.599999999999</v>
      </c>
      <c r="R447">
        <v>1152.2</v>
      </c>
      <c r="S447">
        <v>19.197708731123068</v>
      </c>
      <c r="T447">
        <v>1656.6</v>
      </c>
      <c r="U447">
        <v>0.69550000000000001</v>
      </c>
    </row>
    <row r="448" spans="1:21" x14ac:dyDescent="0.3">
      <c r="A448" t="s">
        <v>1825</v>
      </c>
      <c r="B448" t="s">
        <v>1826</v>
      </c>
      <c r="C448" t="s">
        <v>41</v>
      </c>
      <c r="D448" t="s">
        <v>1827</v>
      </c>
      <c r="E448" t="s">
        <v>22</v>
      </c>
      <c r="F448" t="s">
        <v>28</v>
      </c>
      <c r="G448">
        <v>0</v>
      </c>
      <c r="H448">
        <v>8000</v>
      </c>
      <c r="J448" t="s">
        <v>1828</v>
      </c>
      <c r="K448">
        <v>0</v>
      </c>
      <c r="L448">
        <v>1971</v>
      </c>
      <c r="M448">
        <v>55</v>
      </c>
      <c r="N448" t="s">
        <v>2860</v>
      </c>
      <c r="O448" t="s">
        <v>2927</v>
      </c>
      <c r="P448">
        <v>28632.6</v>
      </c>
      <c r="Q448">
        <v>31354.9</v>
      </c>
      <c r="R448">
        <v>1484.9</v>
      </c>
      <c r="S448">
        <v>21.115832716007812</v>
      </c>
      <c r="T448">
        <v>3072.7</v>
      </c>
      <c r="U448">
        <v>0.48330000000000001</v>
      </c>
    </row>
    <row r="449" spans="1:21" x14ac:dyDescent="0.3">
      <c r="A449" t="s">
        <v>1829</v>
      </c>
      <c r="B449" t="s">
        <v>1830</v>
      </c>
      <c r="C449" t="s">
        <v>20</v>
      </c>
      <c r="D449" t="s">
        <v>1831</v>
      </c>
      <c r="E449" t="s">
        <v>22</v>
      </c>
      <c r="F449" t="s">
        <v>95</v>
      </c>
      <c r="G449">
        <v>0</v>
      </c>
      <c r="H449">
        <v>89900</v>
      </c>
      <c r="J449" t="s">
        <v>1832</v>
      </c>
      <c r="K449">
        <v>0</v>
      </c>
      <c r="L449">
        <v>1983</v>
      </c>
      <c r="M449">
        <v>43</v>
      </c>
      <c r="N449" t="s">
        <v>2862</v>
      </c>
      <c r="O449" t="s">
        <v>2927</v>
      </c>
      <c r="P449">
        <v>211474.7</v>
      </c>
      <c r="Q449">
        <v>378521.7</v>
      </c>
      <c r="R449">
        <v>49997</v>
      </c>
      <c r="S449">
        <v>7.5708882532951982</v>
      </c>
      <c r="T449">
        <v>138191</v>
      </c>
      <c r="U449">
        <v>0.36180000000000001</v>
      </c>
    </row>
    <row r="450" spans="1:21" x14ac:dyDescent="0.3">
      <c r="A450" t="s">
        <v>1833</v>
      </c>
      <c r="B450" t="s">
        <v>1834</v>
      </c>
      <c r="C450" t="s">
        <v>41</v>
      </c>
      <c r="D450" t="s">
        <v>1835</v>
      </c>
      <c r="E450" t="s">
        <v>22</v>
      </c>
      <c r="F450" t="s">
        <v>33</v>
      </c>
      <c r="G450">
        <v>0</v>
      </c>
      <c r="H450">
        <v>6400</v>
      </c>
      <c r="I450" t="s">
        <v>1836</v>
      </c>
      <c r="J450" t="s">
        <v>1836</v>
      </c>
      <c r="K450">
        <v>1</v>
      </c>
      <c r="L450">
        <v>1989</v>
      </c>
      <c r="M450">
        <v>37</v>
      </c>
      <c r="N450" t="s">
        <v>2864</v>
      </c>
      <c r="O450" t="s">
        <v>2927</v>
      </c>
      <c r="P450">
        <v>126211.8</v>
      </c>
      <c r="Q450">
        <v>115927.4</v>
      </c>
      <c r="R450">
        <v>4866</v>
      </c>
      <c r="S450">
        <v>23.823962186600902</v>
      </c>
      <c r="T450">
        <v>12001.3</v>
      </c>
      <c r="U450">
        <v>0.40550000000000003</v>
      </c>
    </row>
    <row r="451" spans="1:21" x14ac:dyDescent="0.3">
      <c r="A451" t="s">
        <v>1837</v>
      </c>
      <c r="B451" t="s">
        <v>1838</v>
      </c>
      <c r="C451" t="s">
        <v>41</v>
      </c>
      <c r="D451" t="s">
        <v>1839</v>
      </c>
      <c r="E451" t="s">
        <v>22</v>
      </c>
      <c r="F451" t="s">
        <v>33</v>
      </c>
      <c r="G451">
        <v>0</v>
      </c>
      <c r="H451">
        <v>30000</v>
      </c>
      <c r="J451" t="s">
        <v>1840</v>
      </c>
      <c r="K451">
        <v>0</v>
      </c>
      <c r="L451">
        <v>1961</v>
      </c>
      <c r="M451">
        <v>65</v>
      </c>
      <c r="N451" t="s">
        <v>2869</v>
      </c>
      <c r="O451" t="s">
        <v>2927</v>
      </c>
      <c r="P451">
        <v>17190.3</v>
      </c>
      <c r="Q451">
        <v>30375.3</v>
      </c>
      <c r="R451">
        <v>3958.2</v>
      </c>
      <c r="S451">
        <v>7.6740184932545095</v>
      </c>
      <c r="T451">
        <v>14299.9</v>
      </c>
      <c r="U451">
        <v>0.27679999999999999</v>
      </c>
    </row>
    <row r="452" spans="1:21" x14ac:dyDescent="0.3">
      <c r="A452" t="s">
        <v>1841</v>
      </c>
      <c r="B452" t="s">
        <v>1842</v>
      </c>
      <c r="C452" t="s">
        <v>20</v>
      </c>
      <c r="D452" t="s">
        <v>1843</v>
      </c>
      <c r="E452" t="s">
        <v>22</v>
      </c>
      <c r="F452" t="s">
        <v>80</v>
      </c>
      <c r="G452">
        <v>0</v>
      </c>
      <c r="H452">
        <v>28</v>
      </c>
      <c r="J452" t="s">
        <v>1844</v>
      </c>
      <c r="K452">
        <v>0</v>
      </c>
      <c r="L452">
        <v>2016</v>
      </c>
      <c r="M452">
        <v>10</v>
      </c>
      <c r="N452" t="s">
        <v>2871</v>
      </c>
      <c r="O452" t="s">
        <v>2927</v>
      </c>
      <c r="P452">
        <v>32286.6</v>
      </c>
      <c r="Q452">
        <v>49837.8</v>
      </c>
      <c r="R452">
        <v>3651.2</v>
      </c>
      <c r="S452">
        <v>13.649704206836111</v>
      </c>
      <c r="T452">
        <v>4006.1</v>
      </c>
      <c r="U452">
        <v>0.91139999999999999</v>
      </c>
    </row>
    <row r="453" spans="1:21" x14ac:dyDescent="0.3">
      <c r="A453" t="s">
        <v>1845</v>
      </c>
      <c r="B453" t="s">
        <v>1846</v>
      </c>
      <c r="C453" t="s">
        <v>20</v>
      </c>
      <c r="D453" t="s">
        <v>1847</v>
      </c>
      <c r="E453" t="s">
        <v>22</v>
      </c>
      <c r="F453" t="s">
        <v>53</v>
      </c>
      <c r="G453">
        <v>1</v>
      </c>
      <c r="H453">
        <v>34100</v>
      </c>
      <c r="J453" t="s">
        <v>1848</v>
      </c>
      <c r="K453">
        <v>0</v>
      </c>
      <c r="L453">
        <v>1958</v>
      </c>
      <c r="M453">
        <v>68</v>
      </c>
      <c r="N453" t="s">
        <v>2873</v>
      </c>
      <c r="O453" t="s">
        <v>2928</v>
      </c>
      <c r="P453">
        <v>610189.80000000005</v>
      </c>
      <c r="Q453">
        <v>615520.80000000005</v>
      </c>
      <c r="R453">
        <v>28987</v>
      </c>
      <c r="S453">
        <v>21.23437402973747</v>
      </c>
      <c r="T453">
        <v>41391</v>
      </c>
      <c r="U453">
        <v>0.70030000000000003</v>
      </c>
    </row>
    <row r="454" spans="1:21" x14ac:dyDescent="0.3">
      <c r="A454" t="s">
        <v>1849</v>
      </c>
      <c r="B454" t="s">
        <v>1850</v>
      </c>
      <c r="C454" t="s">
        <v>20</v>
      </c>
      <c r="D454" t="s">
        <v>1851</v>
      </c>
      <c r="E454" t="s">
        <v>22</v>
      </c>
      <c r="F454" t="s">
        <v>89</v>
      </c>
      <c r="G454">
        <v>0</v>
      </c>
      <c r="H454">
        <v>6850</v>
      </c>
      <c r="J454" t="s">
        <v>1852</v>
      </c>
      <c r="K454">
        <v>0</v>
      </c>
      <c r="L454">
        <v>1882</v>
      </c>
      <c r="M454">
        <v>144</v>
      </c>
      <c r="N454" t="s">
        <v>2875</v>
      </c>
      <c r="O454" t="s">
        <v>2927</v>
      </c>
      <c r="P454">
        <v>58593</v>
      </c>
      <c r="Q454">
        <v>80704</v>
      </c>
      <c r="R454">
        <v>5024</v>
      </c>
      <c r="S454">
        <v>16.063694267515924</v>
      </c>
      <c r="T454">
        <v>17738</v>
      </c>
      <c r="U454">
        <v>0.28320000000000001</v>
      </c>
    </row>
    <row r="455" spans="1:21" x14ac:dyDescent="0.3">
      <c r="A455" t="s">
        <v>1853</v>
      </c>
      <c r="B455" t="s">
        <v>1854</v>
      </c>
      <c r="C455" t="s">
        <v>20</v>
      </c>
      <c r="D455" t="s">
        <v>1855</v>
      </c>
      <c r="E455" t="s">
        <v>22</v>
      </c>
      <c r="F455" t="s">
        <v>62</v>
      </c>
      <c r="G455">
        <v>0</v>
      </c>
      <c r="H455">
        <v>11548</v>
      </c>
      <c r="J455" t="s">
        <v>1856</v>
      </c>
      <c r="K455">
        <v>0</v>
      </c>
      <c r="L455">
        <v>1909</v>
      </c>
      <c r="M455">
        <v>117</v>
      </c>
      <c r="N455" t="s">
        <v>2877</v>
      </c>
      <c r="O455" t="s">
        <v>2927</v>
      </c>
      <c r="P455">
        <v>40479.9</v>
      </c>
      <c r="Q455">
        <v>45260.4</v>
      </c>
      <c r="R455">
        <v>2311.3000000000002</v>
      </c>
      <c r="S455">
        <v>19.582226452645696</v>
      </c>
      <c r="T455">
        <v>7941.1</v>
      </c>
      <c r="U455">
        <v>0.29110000000000003</v>
      </c>
    </row>
    <row r="456" spans="1:21" x14ac:dyDescent="0.3">
      <c r="A456" t="s">
        <v>1857</v>
      </c>
      <c r="B456" t="s">
        <v>1858</v>
      </c>
      <c r="C456" t="s">
        <v>20</v>
      </c>
      <c r="D456" t="s">
        <v>1859</v>
      </c>
      <c r="E456" t="s">
        <v>22</v>
      </c>
      <c r="F456" t="s">
        <v>53</v>
      </c>
      <c r="G456">
        <v>1</v>
      </c>
      <c r="H456">
        <v>8606</v>
      </c>
      <c r="J456" t="s">
        <v>1860</v>
      </c>
      <c r="K456">
        <v>0</v>
      </c>
      <c r="L456">
        <v>1967</v>
      </c>
      <c r="M456">
        <v>59</v>
      </c>
      <c r="N456" t="s">
        <v>2879</v>
      </c>
      <c r="O456" t="s">
        <v>2927</v>
      </c>
      <c r="P456">
        <v>26851</v>
      </c>
      <c r="Q456">
        <v>27422.3</v>
      </c>
      <c r="R456">
        <v>2538.9</v>
      </c>
      <c r="S456">
        <v>10.800858639568316</v>
      </c>
      <c r="T456">
        <v>14707.9</v>
      </c>
      <c r="U456">
        <v>0.1726</v>
      </c>
    </row>
    <row r="457" spans="1:21" x14ac:dyDescent="0.3">
      <c r="A457" t="s">
        <v>1861</v>
      </c>
      <c r="B457" t="s">
        <v>1862</v>
      </c>
      <c r="C457" t="s">
        <v>20</v>
      </c>
      <c r="D457" t="s">
        <v>1863</v>
      </c>
      <c r="E457" t="s">
        <v>22</v>
      </c>
      <c r="F457" t="s">
        <v>28</v>
      </c>
      <c r="G457">
        <v>0</v>
      </c>
      <c r="H457">
        <v>23550</v>
      </c>
      <c r="J457" t="s">
        <v>1864</v>
      </c>
      <c r="K457">
        <v>0</v>
      </c>
      <c r="L457">
        <v>1927</v>
      </c>
      <c r="M457">
        <v>99</v>
      </c>
      <c r="N457" t="s">
        <v>2881</v>
      </c>
      <c r="O457" t="s">
        <v>2927</v>
      </c>
      <c r="P457">
        <v>54229.3</v>
      </c>
      <c r="Q457">
        <v>56911.3</v>
      </c>
      <c r="R457">
        <v>2963</v>
      </c>
      <c r="S457">
        <v>19.207323658454271</v>
      </c>
      <c r="T457">
        <v>17942</v>
      </c>
      <c r="U457">
        <v>0.1651</v>
      </c>
    </row>
    <row r="458" spans="1:21" x14ac:dyDescent="0.3">
      <c r="A458" t="s">
        <v>1865</v>
      </c>
      <c r="B458" t="s">
        <v>1866</v>
      </c>
      <c r="C458" t="s">
        <v>41</v>
      </c>
      <c r="D458" t="s">
        <v>1867</v>
      </c>
      <c r="E458" t="s">
        <v>22</v>
      </c>
      <c r="F458" t="s">
        <v>100</v>
      </c>
      <c r="G458">
        <v>0</v>
      </c>
      <c r="H458">
        <v>2100000</v>
      </c>
      <c r="J458" t="s">
        <v>1868</v>
      </c>
      <c r="K458">
        <v>0</v>
      </c>
      <c r="L458">
        <v>1945</v>
      </c>
      <c r="M458">
        <v>81</v>
      </c>
      <c r="N458" t="s">
        <v>2883</v>
      </c>
      <c r="O458" t="s">
        <v>2927</v>
      </c>
      <c r="P458">
        <v>1019782.9</v>
      </c>
      <c r="Q458">
        <v>1082713.8999999999</v>
      </c>
      <c r="R458">
        <v>44178</v>
      </c>
      <c r="S458">
        <v>24.50798813889266</v>
      </c>
      <c r="T458">
        <v>713163</v>
      </c>
      <c r="U458">
        <v>6.1899999999999997E-2</v>
      </c>
    </row>
    <row r="459" spans="1:21" x14ac:dyDescent="0.3">
      <c r="A459" t="s">
        <v>1869</v>
      </c>
      <c r="B459" t="s">
        <v>1870</v>
      </c>
      <c r="C459" t="s">
        <v>41</v>
      </c>
      <c r="D459" t="s">
        <v>1871</v>
      </c>
      <c r="E459" t="s">
        <v>22</v>
      </c>
      <c r="F459" t="s">
        <v>95</v>
      </c>
      <c r="G459">
        <v>0</v>
      </c>
      <c r="H459">
        <v>35000</v>
      </c>
      <c r="J459" t="s">
        <v>1872</v>
      </c>
      <c r="K459">
        <v>0</v>
      </c>
      <c r="L459">
        <v>2008</v>
      </c>
      <c r="M459">
        <v>18</v>
      </c>
      <c r="N459" t="s">
        <v>2885</v>
      </c>
      <c r="O459" t="s">
        <v>2927</v>
      </c>
      <c r="P459">
        <v>69890.2</v>
      </c>
      <c r="Q459">
        <v>103318.2</v>
      </c>
      <c r="R459">
        <v>7565</v>
      </c>
      <c r="S459">
        <v>13.657395902181097</v>
      </c>
      <c r="T459">
        <v>37296</v>
      </c>
      <c r="U459">
        <v>0.20280000000000001</v>
      </c>
    </row>
    <row r="460" spans="1:21" x14ac:dyDescent="0.3">
      <c r="A460" t="s">
        <v>1873</v>
      </c>
      <c r="B460" t="s">
        <v>1874</v>
      </c>
      <c r="C460" t="s">
        <v>20</v>
      </c>
      <c r="D460" t="s">
        <v>1875</v>
      </c>
      <c r="E460" t="s">
        <v>22</v>
      </c>
      <c r="F460" t="s">
        <v>28</v>
      </c>
      <c r="G460">
        <v>0</v>
      </c>
      <c r="H460">
        <v>60500</v>
      </c>
      <c r="J460" t="s">
        <v>1876</v>
      </c>
      <c r="K460">
        <v>0</v>
      </c>
      <c r="L460">
        <v>1968</v>
      </c>
      <c r="M460">
        <v>58</v>
      </c>
      <c r="N460" t="s">
        <v>2887</v>
      </c>
      <c r="O460" t="s">
        <v>2927</v>
      </c>
      <c r="P460">
        <v>97139.4</v>
      </c>
      <c r="Q460">
        <v>120856.4</v>
      </c>
      <c r="R460">
        <v>7559</v>
      </c>
      <c r="S460">
        <v>15.98841116549808</v>
      </c>
      <c r="T460">
        <v>25204</v>
      </c>
      <c r="U460">
        <v>0.2999</v>
      </c>
    </row>
    <row r="461" spans="1:21" x14ac:dyDescent="0.3">
      <c r="A461" t="s">
        <v>1877</v>
      </c>
      <c r="B461" t="s">
        <v>1878</v>
      </c>
      <c r="C461" t="s">
        <v>20</v>
      </c>
      <c r="D461" t="s">
        <v>1879</v>
      </c>
      <c r="E461" t="s">
        <v>22</v>
      </c>
      <c r="F461" t="s">
        <v>33</v>
      </c>
      <c r="G461">
        <v>0</v>
      </c>
      <c r="H461">
        <v>7900</v>
      </c>
      <c r="J461" t="s">
        <v>1880</v>
      </c>
      <c r="K461">
        <v>0</v>
      </c>
      <c r="L461">
        <v>1958</v>
      </c>
      <c r="M461">
        <v>68</v>
      </c>
      <c r="N461" t="s">
        <v>2889</v>
      </c>
      <c r="O461" t="s">
        <v>2927</v>
      </c>
      <c r="P461">
        <v>31331.8</v>
      </c>
      <c r="Q461">
        <v>32287.9</v>
      </c>
      <c r="R461">
        <v>1094</v>
      </c>
      <c r="S461">
        <v>29.513619744058502</v>
      </c>
      <c r="T461">
        <v>3165.3</v>
      </c>
      <c r="U461">
        <v>0.34560000000000002</v>
      </c>
    </row>
    <row r="462" spans="1:21" x14ac:dyDescent="0.3">
      <c r="A462" t="s">
        <v>1881</v>
      </c>
      <c r="B462" t="s">
        <v>1882</v>
      </c>
      <c r="C462" t="s">
        <v>20</v>
      </c>
      <c r="D462" t="s">
        <v>1883</v>
      </c>
      <c r="E462" t="s">
        <v>22</v>
      </c>
      <c r="F462" t="s">
        <v>89</v>
      </c>
      <c r="G462">
        <v>0</v>
      </c>
      <c r="H462">
        <v>7151</v>
      </c>
      <c r="J462" t="s">
        <v>1884</v>
      </c>
      <c r="K462">
        <v>0</v>
      </c>
      <c r="L462">
        <v>1896</v>
      </c>
      <c r="M462">
        <v>130</v>
      </c>
      <c r="N462" t="s">
        <v>2891</v>
      </c>
      <c r="O462" t="s">
        <v>2927</v>
      </c>
      <c r="P462">
        <v>38074.1</v>
      </c>
      <c r="Q462">
        <v>60876.2</v>
      </c>
      <c r="R462">
        <v>3867.7</v>
      </c>
      <c r="S462">
        <v>15.73963854487163</v>
      </c>
      <c r="T462">
        <v>9800.1</v>
      </c>
      <c r="U462">
        <v>0.3947</v>
      </c>
    </row>
    <row r="463" spans="1:21" x14ac:dyDescent="0.3">
      <c r="A463" t="s">
        <v>1885</v>
      </c>
      <c r="B463" t="s">
        <v>1886</v>
      </c>
      <c r="C463" t="s">
        <v>20</v>
      </c>
      <c r="D463" t="s">
        <v>1887</v>
      </c>
      <c r="E463" t="s">
        <v>22</v>
      </c>
      <c r="F463" t="s">
        <v>53</v>
      </c>
      <c r="G463">
        <v>1</v>
      </c>
      <c r="H463">
        <v>205000</v>
      </c>
      <c r="J463" t="s">
        <v>1888</v>
      </c>
      <c r="K463">
        <v>0</v>
      </c>
      <c r="L463">
        <v>1852</v>
      </c>
      <c r="M463">
        <v>174</v>
      </c>
      <c r="N463" t="s">
        <v>2893</v>
      </c>
      <c r="O463" t="s">
        <v>2928</v>
      </c>
      <c r="P463">
        <v>251325</v>
      </c>
      <c r="Q463" t="s">
        <v>91</v>
      </c>
      <c r="R463">
        <v>0</v>
      </c>
      <c r="S463" t="e">
        <v>#VALUE!</v>
      </c>
      <c r="T463">
        <v>80041</v>
      </c>
      <c r="U463">
        <v>0</v>
      </c>
    </row>
    <row r="464" spans="1:21" x14ac:dyDescent="0.3">
      <c r="A464" t="s">
        <v>1889</v>
      </c>
      <c r="B464" t="s">
        <v>1890</v>
      </c>
      <c r="C464" t="s">
        <v>20</v>
      </c>
      <c r="D464" t="s">
        <v>1891</v>
      </c>
      <c r="E464" t="s">
        <v>22</v>
      </c>
      <c r="F464" t="s">
        <v>80</v>
      </c>
      <c r="G464">
        <v>0</v>
      </c>
      <c r="H464">
        <v>712</v>
      </c>
      <c r="J464" t="s">
        <v>1892</v>
      </c>
      <c r="K464">
        <v>0</v>
      </c>
      <c r="L464">
        <v>1970</v>
      </c>
      <c r="M464">
        <v>56</v>
      </c>
      <c r="N464" t="s">
        <v>2895</v>
      </c>
      <c r="O464" t="s">
        <v>2927</v>
      </c>
      <c r="P464">
        <v>144518.5</v>
      </c>
      <c r="Q464">
        <v>161938.6</v>
      </c>
      <c r="R464">
        <v>2664.6</v>
      </c>
      <c r="S464">
        <v>60.774074908053748</v>
      </c>
      <c r="T464">
        <v>10838</v>
      </c>
      <c r="U464">
        <v>0.24590000000000001</v>
      </c>
    </row>
    <row r="465" spans="1:21" x14ac:dyDescent="0.3">
      <c r="A465" t="s">
        <v>1893</v>
      </c>
      <c r="B465" t="s">
        <v>1894</v>
      </c>
      <c r="C465" t="s">
        <v>20</v>
      </c>
      <c r="D465" t="s">
        <v>1895</v>
      </c>
      <c r="E465" t="s">
        <v>22</v>
      </c>
      <c r="F465" t="s">
        <v>33</v>
      </c>
      <c r="G465">
        <v>0</v>
      </c>
      <c r="H465">
        <v>10800</v>
      </c>
      <c r="J465" t="s">
        <v>1896</v>
      </c>
      <c r="K465">
        <v>0</v>
      </c>
      <c r="L465">
        <v>1923</v>
      </c>
      <c r="M465">
        <v>103</v>
      </c>
      <c r="N465" t="s">
        <v>2897</v>
      </c>
      <c r="O465" t="s">
        <v>2927</v>
      </c>
      <c r="P465">
        <v>18317.900000000001</v>
      </c>
      <c r="Q465">
        <v>17852.8</v>
      </c>
      <c r="R465">
        <v>810.1</v>
      </c>
      <c r="S465">
        <v>22.037773114430316</v>
      </c>
      <c r="T465">
        <v>3074.1</v>
      </c>
      <c r="U465">
        <v>0.26350000000000001</v>
      </c>
    </row>
    <row r="466" spans="1:21" x14ac:dyDescent="0.3">
      <c r="A466" t="s">
        <v>1897</v>
      </c>
      <c r="B466" t="s">
        <v>1898</v>
      </c>
      <c r="C466" t="s">
        <v>41</v>
      </c>
      <c r="D466" t="s">
        <v>1899</v>
      </c>
      <c r="E466" t="s">
        <v>22</v>
      </c>
      <c r="F466" t="s">
        <v>43</v>
      </c>
      <c r="G466">
        <v>0</v>
      </c>
      <c r="H466">
        <v>40000</v>
      </c>
      <c r="J466" t="s">
        <v>1495</v>
      </c>
      <c r="K466">
        <v>0</v>
      </c>
      <c r="L466">
        <v>1970</v>
      </c>
      <c r="M466">
        <v>56</v>
      </c>
      <c r="N466" t="s">
        <v>2899</v>
      </c>
      <c r="O466" t="s">
        <v>2928</v>
      </c>
      <c r="P466">
        <v>94828.9</v>
      </c>
      <c r="Q466">
        <v>95817.9</v>
      </c>
      <c r="R466">
        <v>3357</v>
      </c>
      <c r="S466">
        <v>28.542716711349417</v>
      </c>
      <c r="T466">
        <v>10734</v>
      </c>
      <c r="U466">
        <v>0.31269999999999998</v>
      </c>
    </row>
    <row r="467" spans="1:21" x14ac:dyDescent="0.3">
      <c r="A467" t="s">
        <v>1900</v>
      </c>
      <c r="B467" t="s">
        <v>1901</v>
      </c>
      <c r="C467" t="s">
        <v>20</v>
      </c>
      <c r="D467" t="s">
        <v>1902</v>
      </c>
      <c r="E467" t="s">
        <v>22</v>
      </c>
      <c r="F467" t="s">
        <v>28</v>
      </c>
      <c r="G467">
        <v>0</v>
      </c>
      <c r="H467">
        <v>31000</v>
      </c>
      <c r="J467" t="s">
        <v>1903</v>
      </c>
      <c r="K467">
        <v>0</v>
      </c>
      <c r="L467">
        <v>1869</v>
      </c>
      <c r="M467">
        <v>157</v>
      </c>
      <c r="N467" t="s">
        <v>2901</v>
      </c>
      <c r="O467" t="s">
        <v>2927</v>
      </c>
      <c r="P467">
        <v>45008</v>
      </c>
      <c r="Q467">
        <v>50225</v>
      </c>
      <c r="R467">
        <v>2435</v>
      </c>
      <c r="S467">
        <v>20.626283367556468</v>
      </c>
      <c r="T467">
        <v>11167</v>
      </c>
      <c r="U467">
        <v>0.21809999999999999</v>
      </c>
    </row>
    <row r="468" spans="1:21" x14ac:dyDescent="0.3">
      <c r="A468" t="s">
        <v>1904</v>
      </c>
      <c r="B468" t="s">
        <v>1905</v>
      </c>
      <c r="C468" t="s">
        <v>20</v>
      </c>
      <c r="D468" t="s">
        <v>1906</v>
      </c>
      <c r="E468" t="s">
        <v>22</v>
      </c>
      <c r="F468" t="s">
        <v>80</v>
      </c>
      <c r="G468">
        <v>0</v>
      </c>
      <c r="H468">
        <v>9517</v>
      </c>
      <c r="J468" t="s">
        <v>1907</v>
      </c>
      <c r="K468">
        <v>0</v>
      </c>
      <c r="L468">
        <v>1900</v>
      </c>
      <c r="M468">
        <v>126</v>
      </c>
      <c r="N468" t="s">
        <v>2903</v>
      </c>
      <c r="O468" t="s">
        <v>2927</v>
      </c>
      <c r="P468">
        <v>17677.900000000001</v>
      </c>
      <c r="Q468">
        <v>22934.9</v>
      </c>
      <c r="R468">
        <v>706</v>
      </c>
      <c r="S468">
        <v>32.485694050991505</v>
      </c>
      <c r="T468">
        <v>6905</v>
      </c>
      <c r="U468">
        <v>0.1022</v>
      </c>
    </row>
    <row r="469" spans="1:21" x14ac:dyDescent="0.3">
      <c r="A469" t="s">
        <v>1908</v>
      </c>
      <c r="B469" t="s">
        <v>1909</v>
      </c>
      <c r="C469" t="s">
        <v>20</v>
      </c>
      <c r="D469" t="s">
        <v>1910</v>
      </c>
      <c r="E469" t="s">
        <v>22</v>
      </c>
      <c r="F469" t="s">
        <v>67</v>
      </c>
      <c r="G469">
        <v>0</v>
      </c>
      <c r="H469">
        <v>19600</v>
      </c>
      <c r="I469" t="s">
        <v>1911</v>
      </c>
      <c r="J469" t="s">
        <v>1912</v>
      </c>
      <c r="K469">
        <v>1</v>
      </c>
      <c r="L469">
        <v>1956</v>
      </c>
      <c r="M469">
        <v>70</v>
      </c>
      <c r="N469" t="s">
        <v>2905</v>
      </c>
      <c r="O469" t="s">
        <v>2928</v>
      </c>
      <c r="P469">
        <v>24550.6</v>
      </c>
      <c r="Q469">
        <v>25131.7</v>
      </c>
      <c r="R469">
        <v>1698.2</v>
      </c>
      <c r="S469">
        <v>14.799022494405841</v>
      </c>
      <c r="T469">
        <v>7911.9</v>
      </c>
      <c r="U469">
        <v>0.21460000000000001</v>
      </c>
    </row>
    <row r="470" spans="1:21" x14ac:dyDescent="0.3">
      <c r="A470" t="s">
        <v>1913</v>
      </c>
      <c r="B470" t="s">
        <v>1914</v>
      </c>
      <c r="C470" t="s">
        <v>41</v>
      </c>
      <c r="D470" t="s">
        <v>1915</v>
      </c>
      <c r="E470" t="s">
        <v>22</v>
      </c>
      <c r="F470" t="s">
        <v>43</v>
      </c>
      <c r="G470">
        <v>0</v>
      </c>
      <c r="H470">
        <v>20588</v>
      </c>
      <c r="J470" t="s">
        <v>1916</v>
      </c>
      <c r="K470">
        <v>0</v>
      </c>
      <c r="L470">
        <v>2005</v>
      </c>
      <c r="M470">
        <v>21</v>
      </c>
      <c r="N470" t="s">
        <v>2907</v>
      </c>
      <c r="O470" t="s">
        <v>2928</v>
      </c>
      <c r="P470">
        <v>35178.9</v>
      </c>
      <c r="Q470">
        <v>33556.9</v>
      </c>
      <c r="R470">
        <v>1371</v>
      </c>
      <c r="S470">
        <v>24.476221735959154</v>
      </c>
      <c r="T470">
        <v>9552</v>
      </c>
      <c r="U470">
        <v>0.14349999999999999</v>
      </c>
    </row>
    <row r="471" spans="1:21" x14ac:dyDescent="0.3">
      <c r="A471" t="s">
        <v>1917</v>
      </c>
      <c r="B471" t="s">
        <v>1918</v>
      </c>
      <c r="C471" t="s">
        <v>41</v>
      </c>
      <c r="D471" t="s">
        <v>1919</v>
      </c>
      <c r="E471" t="s">
        <v>22</v>
      </c>
      <c r="F471" t="s">
        <v>67</v>
      </c>
      <c r="G471">
        <v>0</v>
      </c>
      <c r="H471">
        <v>28000</v>
      </c>
      <c r="J471" t="s">
        <v>1920</v>
      </c>
      <c r="K471">
        <v>0</v>
      </c>
      <c r="L471">
        <v>2002</v>
      </c>
      <c r="M471">
        <v>24</v>
      </c>
      <c r="N471" t="s">
        <v>2909</v>
      </c>
      <c r="O471" t="s">
        <v>2927</v>
      </c>
      <c r="P471">
        <v>11138.8</v>
      </c>
      <c r="Q471">
        <v>20602.3</v>
      </c>
      <c r="R471">
        <v>1733.3</v>
      </c>
      <c r="S471">
        <v>11.88617088790169</v>
      </c>
      <c r="T471">
        <v>7137.9</v>
      </c>
      <c r="U471">
        <v>0.24279999999999999</v>
      </c>
    </row>
    <row r="472" spans="1:21" x14ac:dyDescent="0.3">
      <c r="A472" t="s">
        <v>1921</v>
      </c>
      <c r="B472" t="s">
        <v>1922</v>
      </c>
      <c r="C472" t="s">
        <v>41</v>
      </c>
      <c r="D472" t="s">
        <v>1923</v>
      </c>
      <c r="E472" t="s">
        <v>22</v>
      </c>
      <c r="F472" t="s">
        <v>89</v>
      </c>
      <c r="G472">
        <v>0</v>
      </c>
      <c r="H472">
        <v>11534</v>
      </c>
      <c r="J472" t="s">
        <v>1924</v>
      </c>
      <c r="K472">
        <v>0</v>
      </c>
      <c r="L472">
        <v>1909</v>
      </c>
      <c r="M472">
        <v>117</v>
      </c>
      <c r="N472" t="s">
        <v>2911</v>
      </c>
      <c r="O472" t="s">
        <v>2927</v>
      </c>
      <c r="P472">
        <v>52006.400000000001</v>
      </c>
      <c r="Q472">
        <v>87807.4</v>
      </c>
      <c r="R472">
        <v>5980</v>
      </c>
      <c r="S472">
        <v>14.683511705685618</v>
      </c>
      <c r="T472">
        <v>14669</v>
      </c>
      <c r="U472">
        <v>0.40770000000000001</v>
      </c>
    </row>
    <row r="473" spans="1:21" x14ac:dyDescent="0.3">
      <c r="A473" t="s">
        <v>1925</v>
      </c>
      <c r="B473" t="s">
        <v>1926</v>
      </c>
      <c r="C473" t="s">
        <v>20</v>
      </c>
      <c r="D473" t="s">
        <v>1927</v>
      </c>
      <c r="E473" t="s">
        <v>22</v>
      </c>
      <c r="F473" t="s">
        <v>28</v>
      </c>
      <c r="G473">
        <v>0</v>
      </c>
      <c r="H473">
        <v>22000</v>
      </c>
      <c r="J473" t="s">
        <v>1928</v>
      </c>
      <c r="K473">
        <v>0</v>
      </c>
      <c r="L473">
        <v>2011</v>
      </c>
      <c r="M473">
        <v>15</v>
      </c>
      <c r="N473" t="s">
        <v>2913</v>
      </c>
      <c r="O473" t="s">
        <v>2927</v>
      </c>
      <c r="P473">
        <v>31501.4</v>
      </c>
      <c r="Q473">
        <v>32766.400000000001</v>
      </c>
      <c r="R473">
        <v>1894</v>
      </c>
      <c r="S473">
        <v>17.300105596620909</v>
      </c>
      <c r="T473">
        <v>9035</v>
      </c>
      <c r="U473">
        <v>0.20960000000000001</v>
      </c>
    </row>
    <row r="474" spans="1:21" x14ac:dyDescent="0.3">
      <c r="A474" t="s">
        <v>1929</v>
      </c>
      <c r="B474" t="s">
        <v>1930</v>
      </c>
      <c r="C474" t="s">
        <v>20</v>
      </c>
      <c r="D474" t="s">
        <v>1931</v>
      </c>
      <c r="E474" t="s">
        <v>22</v>
      </c>
      <c r="F474" t="s">
        <v>67</v>
      </c>
      <c r="G474">
        <v>0</v>
      </c>
      <c r="H474">
        <v>49000</v>
      </c>
      <c r="J474" t="s">
        <v>1932</v>
      </c>
      <c r="K474">
        <v>0</v>
      </c>
      <c r="L474">
        <v>1997</v>
      </c>
      <c r="M474">
        <v>29</v>
      </c>
      <c r="N474" t="s">
        <v>2915</v>
      </c>
      <c r="O474" t="s">
        <v>2927</v>
      </c>
      <c r="P474">
        <v>46484.5</v>
      </c>
      <c r="Q474">
        <v>58964.5</v>
      </c>
      <c r="R474">
        <v>2910</v>
      </c>
      <c r="S474">
        <v>20.262714776632304</v>
      </c>
      <c r="T474">
        <v>8214</v>
      </c>
      <c r="U474">
        <v>0.3543</v>
      </c>
    </row>
    <row r="475" spans="1:21" x14ac:dyDescent="0.3">
      <c r="A475" t="s">
        <v>1933</v>
      </c>
      <c r="B475" t="s">
        <v>1934</v>
      </c>
      <c r="C475" t="s">
        <v>41</v>
      </c>
      <c r="D475" t="s">
        <v>1935</v>
      </c>
      <c r="E475" t="s">
        <v>22</v>
      </c>
      <c r="F475" t="s">
        <v>43</v>
      </c>
      <c r="G475">
        <v>0</v>
      </c>
      <c r="H475">
        <v>10700</v>
      </c>
      <c r="J475" t="s">
        <v>1936</v>
      </c>
      <c r="K475">
        <v>0</v>
      </c>
      <c r="L475">
        <v>1969</v>
      </c>
      <c r="M475">
        <v>57</v>
      </c>
      <c r="N475" t="s">
        <v>2917</v>
      </c>
      <c r="O475" t="s">
        <v>2927</v>
      </c>
      <c r="P475">
        <v>11017</v>
      </c>
      <c r="Q475">
        <v>13589</v>
      </c>
      <c r="R475">
        <v>985</v>
      </c>
      <c r="S475">
        <v>13.795939086294416</v>
      </c>
      <c r="T475">
        <v>5396</v>
      </c>
      <c r="U475">
        <v>0.1825</v>
      </c>
    </row>
    <row r="476" spans="1:21" x14ac:dyDescent="0.3">
      <c r="A476" t="s">
        <v>1937</v>
      </c>
      <c r="B476" t="s">
        <v>1938</v>
      </c>
      <c r="C476" t="s">
        <v>20</v>
      </c>
      <c r="D476" t="s">
        <v>1939</v>
      </c>
      <c r="E476" t="s">
        <v>22</v>
      </c>
      <c r="F476" t="s">
        <v>33</v>
      </c>
      <c r="G476">
        <v>0</v>
      </c>
      <c r="H476">
        <v>17000</v>
      </c>
      <c r="J476" t="s">
        <v>1940</v>
      </c>
      <c r="K476">
        <v>0</v>
      </c>
      <c r="L476">
        <v>1927</v>
      </c>
      <c r="M476">
        <v>99</v>
      </c>
      <c r="N476" t="s">
        <v>2919</v>
      </c>
      <c r="O476" t="s">
        <v>2927</v>
      </c>
      <c r="P476">
        <v>19260</v>
      </c>
      <c r="Q476">
        <v>26521.1</v>
      </c>
      <c r="R476">
        <v>2495.4</v>
      </c>
      <c r="S476">
        <v>10.627995511741604</v>
      </c>
      <c r="T476">
        <v>8231.5</v>
      </c>
      <c r="U476">
        <v>0.30320000000000003</v>
      </c>
    </row>
    <row r="477" spans="1:21" x14ac:dyDescent="0.3">
      <c r="A477" t="s">
        <v>1941</v>
      </c>
      <c r="B477" t="s">
        <v>1942</v>
      </c>
      <c r="C477" t="s">
        <v>20</v>
      </c>
      <c r="D477" t="s">
        <v>1943</v>
      </c>
      <c r="E477" t="s">
        <v>22</v>
      </c>
      <c r="F477" t="s">
        <v>33</v>
      </c>
      <c r="G477">
        <v>0</v>
      </c>
      <c r="H477">
        <v>14500</v>
      </c>
      <c r="I477" t="s">
        <v>1944</v>
      </c>
      <c r="J477" t="s">
        <v>1944</v>
      </c>
      <c r="K477">
        <v>1</v>
      </c>
      <c r="L477">
        <v>2012</v>
      </c>
      <c r="M477">
        <v>14</v>
      </c>
      <c r="N477" t="s">
        <v>2921</v>
      </c>
      <c r="O477" t="s">
        <v>2927</v>
      </c>
      <c r="P477">
        <v>55340.9</v>
      </c>
      <c r="Q477">
        <v>62341.9</v>
      </c>
      <c r="R477">
        <v>4066</v>
      </c>
      <c r="S477">
        <v>15.332488932611904</v>
      </c>
      <c r="T477">
        <v>9467</v>
      </c>
      <c r="U477">
        <v>0.42949999999999999</v>
      </c>
    </row>
    <row r="478" spans="1:21" x14ac:dyDescent="0.3">
      <c r="A478" t="s">
        <v>1945</v>
      </c>
      <c r="B478">
        <v>476</v>
      </c>
      <c r="I478">
        <v>50</v>
      </c>
      <c r="K478">
        <v>50</v>
      </c>
    </row>
    <row r="481" spans="7:8" x14ac:dyDescent="0.3">
      <c r="G481" t="s">
        <v>1953</v>
      </c>
      <c r="H481">
        <v>0.10504201680672269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77148-1663-47AA-A096-2B70BAEA3F70}">
  <dimension ref="A1:U481"/>
  <sheetViews>
    <sheetView zoomScale="58" workbookViewId="0">
      <selection sqref="A1:XFD1048576"/>
    </sheetView>
  </sheetViews>
  <sheetFormatPr defaultRowHeight="14.4" x14ac:dyDescent="0.3"/>
  <cols>
    <col min="1" max="1" width="46.44140625" customWidth="1"/>
    <col min="2" max="2" width="32.33203125" customWidth="1"/>
    <col min="3" max="3" width="9.5546875" bestFit="1" customWidth="1"/>
    <col min="4" max="4" width="5.88671875" bestFit="1" customWidth="1"/>
    <col min="5" max="5" width="29.33203125" hidden="1" customWidth="1"/>
    <col min="6" max="6" width="31.33203125" customWidth="1"/>
    <col min="7" max="7" width="26.6640625" bestFit="1" customWidth="1"/>
    <col min="8" max="8" width="31.88671875" bestFit="1" customWidth="1"/>
    <col min="9" max="9" width="10.44140625" hidden="1" customWidth="1"/>
    <col min="10" max="10" width="17.5546875" bestFit="1" customWidth="1"/>
    <col min="11" max="11" width="19.5546875" bestFit="1" customWidth="1"/>
    <col min="12" max="12" width="18.33203125" bestFit="1" customWidth="1"/>
    <col min="13" max="13" width="21" bestFit="1" customWidth="1"/>
    <col min="14" max="15" width="14.6640625" customWidth="1"/>
    <col min="16" max="16" width="56" bestFit="1" customWidth="1"/>
    <col min="17" max="17" width="46.88671875" bestFit="1" customWidth="1"/>
    <col min="18" max="18" width="33.33203125" bestFit="1" customWidth="1"/>
    <col min="19" max="19" width="33.33203125" customWidth="1"/>
    <col min="20" max="20" width="38.6640625" bestFit="1" customWidth="1"/>
    <col min="21" max="21" width="12.5546875" bestFit="1" customWidth="1"/>
  </cols>
  <sheetData>
    <row r="1" spans="1:2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1956</v>
      </c>
      <c r="N1" s="5" t="s">
        <v>2925</v>
      </c>
      <c r="O1" s="5" t="s">
        <v>2926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</row>
    <row r="2" spans="1:21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s="6">
        <v>0</v>
      </c>
      <c r="H2" s="6">
        <v>60500</v>
      </c>
      <c r="J2" t="s">
        <v>24</v>
      </c>
      <c r="K2">
        <v>0</v>
      </c>
      <c r="L2">
        <v>1902</v>
      </c>
      <c r="M2">
        <f>2026-L2</f>
        <v>124</v>
      </c>
      <c r="N2" t="str" cm="1">
        <f t="array" ref="N2:N477">_xlfn.XLOOKUP(A2:A477,Sheet2!A9:A484,Sheet2!E9:E484,"")</f>
        <v>Headquarters
3M Center 
Saint Paul, Minnesota    55144-1000
United States
Main Phone: 651 733 1110</v>
      </c>
      <c r="O2" t="str">
        <f>IF(ISNUMBER(SEARCH("california",N2)),"1","0")</f>
        <v>0</v>
      </c>
      <c r="P2">
        <v>87074</v>
      </c>
      <c r="Q2">
        <v>92318</v>
      </c>
      <c r="R2">
        <v>6016</v>
      </c>
      <c r="S2" s="4">
        <f>Q2/R2</f>
        <v>15.345412234042554</v>
      </c>
      <c r="T2">
        <v>24948</v>
      </c>
      <c r="U2" s="1">
        <v>0.24110000000000001</v>
      </c>
    </row>
    <row r="3" spans="1:21" x14ac:dyDescent="0.3">
      <c r="A3" t="s">
        <v>25</v>
      </c>
      <c r="B3" t="s">
        <v>26</v>
      </c>
      <c r="C3" t="s">
        <v>20</v>
      </c>
      <c r="D3" t="s">
        <v>27</v>
      </c>
      <c r="E3" t="s">
        <v>22</v>
      </c>
      <c r="F3" t="s">
        <v>28</v>
      </c>
      <c r="G3" s="6">
        <v>0</v>
      </c>
      <c r="H3" s="6">
        <v>11500</v>
      </c>
      <c r="J3" t="s">
        <v>29</v>
      </c>
      <c r="K3">
        <v>0</v>
      </c>
      <c r="L3">
        <v>1874</v>
      </c>
      <c r="M3">
        <f t="shared" ref="M3:M66" si="0">2026-L3</f>
        <v>152</v>
      </c>
      <c r="N3" t="str">
        <v>Headquarters
11270 West Park Place 
Milwaukee, Wisconsin    53224
United States
Main Phone: 414 359 4000</v>
      </c>
      <c r="O3" t="str">
        <f t="shared" ref="O3:O66" si="1">IF(ISNUMBER(SEARCH("california",N3)),"1","0")</f>
        <v>0</v>
      </c>
      <c r="P3">
        <v>10786.6</v>
      </c>
      <c r="Q3">
        <v>10797.3</v>
      </c>
      <c r="R3">
        <v>813.1</v>
      </c>
      <c r="S3" s="4">
        <f t="shared" ref="S3:S66" si="2">Q3/R3</f>
        <v>13.279178452834829</v>
      </c>
      <c r="T3">
        <v>3830.2</v>
      </c>
      <c r="U3" s="1">
        <v>0.21229999999999999</v>
      </c>
    </row>
    <row r="4" spans="1:21" x14ac:dyDescent="0.3">
      <c r="A4" t="s">
        <v>30</v>
      </c>
      <c r="B4" t="s">
        <v>31</v>
      </c>
      <c r="C4" t="s">
        <v>20</v>
      </c>
      <c r="D4" t="s">
        <v>32</v>
      </c>
      <c r="E4" t="s">
        <v>22</v>
      </c>
      <c r="F4" t="s">
        <v>33</v>
      </c>
      <c r="G4" s="6">
        <v>0</v>
      </c>
      <c r="H4" s="6">
        <v>115000</v>
      </c>
      <c r="J4" t="s">
        <v>34</v>
      </c>
      <c r="K4">
        <v>0</v>
      </c>
      <c r="L4">
        <v>1888</v>
      </c>
      <c r="M4">
        <f t="shared" si="0"/>
        <v>138</v>
      </c>
      <c r="N4" t="str">
        <v>Headquarters
100 Abbott Park Road
Abbott Park 
Lake County, Illinois    60064-6400
United States
Main Phone: 224 667 6100</v>
      </c>
      <c r="O4" t="str">
        <f t="shared" si="1"/>
        <v>0</v>
      </c>
      <c r="P4">
        <v>202179.4</v>
      </c>
      <c r="Q4">
        <v>208017.4</v>
      </c>
      <c r="R4">
        <v>12033</v>
      </c>
      <c r="S4" s="4">
        <f t="shared" si="2"/>
        <v>17.287243413944985</v>
      </c>
      <c r="T4">
        <v>44328</v>
      </c>
      <c r="U4" s="1">
        <v>0.27150000000000002</v>
      </c>
    </row>
    <row r="5" spans="1:21" x14ac:dyDescent="0.3">
      <c r="A5" t="s">
        <v>35</v>
      </c>
      <c r="B5" t="s">
        <v>36</v>
      </c>
      <c r="C5" t="s">
        <v>20</v>
      </c>
      <c r="D5" t="s">
        <v>37</v>
      </c>
      <c r="E5" t="s">
        <v>22</v>
      </c>
      <c r="F5" t="s">
        <v>33</v>
      </c>
      <c r="G5" s="6">
        <v>0</v>
      </c>
      <c r="H5" s="6">
        <v>57000</v>
      </c>
      <c r="J5" t="s">
        <v>38</v>
      </c>
      <c r="K5">
        <v>0</v>
      </c>
      <c r="L5">
        <v>2012</v>
      </c>
      <c r="M5">
        <f t="shared" si="0"/>
        <v>14</v>
      </c>
      <c r="N5" t="str">
        <v>Headquarters
1 North Waukegan Road 
North Chicago, Illinois    60064-6400
United States
Main Phone: 847 932 7900</v>
      </c>
      <c r="O5" t="str">
        <f t="shared" si="1"/>
        <v>0</v>
      </c>
      <c r="P5">
        <v>410356.7</v>
      </c>
      <c r="Q5">
        <v>473541.7</v>
      </c>
      <c r="R5">
        <v>29254</v>
      </c>
      <c r="S5" s="4">
        <f t="shared" si="2"/>
        <v>16.187246188555413</v>
      </c>
      <c r="T5">
        <v>61160</v>
      </c>
      <c r="U5" s="1">
        <v>0.4783</v>
      </c>
    </row>
    <row r="6" spans="1:21" x14ac:dyDescent="0.3">
      <c r="A6" t="s">
        <v>39</v>
      </c>
      <c r="B6" t="s">
        <v>40</v>
      </c>
      <c r="C6" t="s">
        <v>41</v>
      </c>
      <c r="D6" t="s">
        <v>42</v>
      </c>
      <c r="E6" t="s">
        <v>22</v>
      </c>
      <c r="F6" t="s">
        <v>43</v>
      </c>
      <c r="G6" s="6">
        <v>0</v>
      </c>
      <c r="H6" s="6">
        <v>31360</v>
      </c>
      <c r="J6" t="s">
        <v>44</v>
      </c>
      <c r="K6">
        <v>0</v>
      </c>
      <c r="L6">
        <v>1982</v>
      </c>
      <c r="M6">
        <f t="shared" si="0"/>
        <v>44</v>
      </c>
      <c r="N6" t="str">
        <v>Headquarters
345 Park Avenue 
San Jose, California    95110-2704
United States
Main Phone: 408 536 6000
Main Fax: 408 537 6000</v>
      </c>
      <c r="O6" t="str">
        <f t="shared" si="1"/>
        <v>1</v>
      </c>
      <c r="P6">
        <v>106968</v>
      </c>
      <c r="Q6">
        <v>107027</v>
      </c>
      <c r="R6">
        <v>9242</v>
      </c>
      <c r="S6" s="4">
        <f t="shared" si="2"/>
        <v>11.580502055832071</v>
      </c>
      <c r="T6">
        <v>23769</v>
      </c>
      <c r="U6" s="1">
        <v>0.38879999999999998</v>
      </c>
    </row>
    <row r="7" spans="1:21" x14ac:dyDescent="0.3">
      <c r="A7" t="s">
        <v>45</v>
      </c>
      <c r="B7" t="s">
        <v>46</v>
      </c>
      <c r="C7" t="s">
        <v>41</v>
      </c>
      <c r="D7" t="s">
        <v>47</v>
      </c>
      <c r="E7" t="s">
        <v>22</v>
      </c>
      <c r="F7" t="s">
        <v>43</v>
      </c>
      <c r="G7" s="6">
        <v>0</v>
      </c>
      <c r="H7" s="6">
        <v>31000</v>
      </c>
      <c r="I7" t="s">
        <v>48</v>
      </c>
      <c r="J7" t="s">
        <v>49</v>
      </c>
      <c r="K7">
        <v>1</v>
      </c>
      <c r="L7">
        <v>1969</v>
      </c>
      <c r="M7">
        <f t="shared" si="0"/>
        <v>57</v>
      </c>
      <c r="N7" t="str">
        <v>Headquarters
2485 Augustine Drive 
Santa Clara, California    95054
United States
Main Phone: 408 749 4000</v>
      </c>
      <c r="O7" t="str">
        <f t="shared" si="1"/>
        <v>1</v>
      </c>
      <c r="P7">
        <v>326424.59999999998</v>
      </c>
      <c r="Q7">
        <v>319878.59999999998</v>
      </c>
      <c r="R7">
        <v>6745</v>
      </c>
      <c r="S7" s="4">
        <f t="shared" si="2"/>
        <v>47.424551519644176</v>
      </c>
      <c r="T7">
        <v>34639</v>
      </c>
      <c r="U7" s="1">
        <v>0.19470000000000001</v>
      </c>
    </row>
    <row r="8" spans="1:21" x14ac:dyDescent="0.3">
      <c r="A8" t="s">
        <v>50</v>
      </c>
      <c r="B8" t="s">
        <v>51</v>
      </c>
      <c r="C8" t="s">
        <v>20</v>
      </c>
      <c r="D8" t="s">
        <v>52</v>
      </c>
      <c r="E8" t="s">
        <v>22</v>
      </c>
      <c r="F8" t="s">
        <v>53</v>
      </c>
      <c r="G8" s="6">
        <v>1</v>
      </c>
      <c r="H8" s="6">
        <v>12716</v>
      </c>
      <c r="J8" t="s">
        <v>54</v>
      </c>
      <c r="K8">
        <v>0</v>
      </c>
      <c r="L8">
        <v>1955</v>
      </c>
      <c r="M8">
        <f t="shared" si="0"/>
        <v>71</v>
      </c>
      <c r="N8" t="str">
        <v>Headquarters
1932 Wynnton Road 
Columbus, Georgia    31999-7251
United States
Main Phone: 706 323 3431
Main Fax: 706 660 7080</v>
      </c>
      <c r="O8" t="str">
        <f t="shared" si="1"/>
        <v>0</v>
      </c>
      <c r="P8">
        <v>58313.599999999999</v>
      </c>
      <c r="Q8">
        <v>64655.6</v>
      </c>
      <c r="R8">
        <v>4789</v>
      </c>
      <c r="S8" s="4">
        <f t="shared" si="2"/>
        <v>13.500856128628106</v>
      </c>
      <c r="T8">
        <v>17164</v>
      </c>
      <c r="U8" s="1">
        <v>0.27900000000000003</v>
      </c>
    </row>
    <row r="9" spans="1:21" x14ac:dyDescent="0.3">
      <c r="A9" t="s">
        <v>55</v>
      </c>
      <c r="B9" t="s">
        <v>56</v>
      </c>
      <c r="C9" t="s">
        <v>20</v>
      </c>
      <c r="D9" t="s">
        <v>57</v>
      </c>
      <c r="E9" t="s">
        <v>22</v>
      </c>
      <c r="F9" t="s">
        <v>33</v>
      </c>
      <c r="G9" s="6">
        <v>0</v>
      </c>
      <c r="H9" s="6">
        <v>18000</v>
      </c>
      <c r="J9" t="s">
        <v>58</v>
      </c>
      <c r="K9">
        <v>0</v>
      </c>
      <c r="L9">
        <v>1999</v>
      </c>
      <c r="M9">
        <f t="shared" si="0"/>
        <v>27</v>
      </c>
      <c r="N9" t="str">
        <v>Headquarters
5301 Stevens Creek Boulevard 
Santa Clara, California    95051
United States
Main Phone: 800 227 9770</v>
      </c>
      <c r="O9" t="str">
        <f t="shared" si="1"/>
        <v>1</v>
      </c>
      <c r="P9">
        <v>34313.599999999999</v>
      </c>
      <c r="Q9">
        <v>35909.599999999999</v>
      </c>
      <c r="R9">
        <v>1928</v>
      </c>
      <c r="S9" s="4">
        <f t="shared" si="2"/>
        <v>18.625311203319502</v>
      </c>
      <c r="T9">
        <v>7065</v>
      </c>
      <c r="U9" s="1">
        <v>0.27289999999999998</v>
      </c>
    </row>
    <row r="10" spans="1:21" x14ac:dyDescent="0.3">
      <c r="A10" t="s">
        <v>59</v>
      </c>
      <c r="B10" t="s">
        <v>60</v>
      </c>
      <c r="C10" t="s">
        <v>20</v>
      </c>
      <c r="D10" t="s">
        <v>61</v>
      </c>
      <c r="E10" t="s">
        <v>22</v>
      </c>
      <c r="F10" t="s">
        <v>62</v>
      </c>
      <c r="G10" s="6">
        <v>0</v>
      </c>
      <c r="H10" s="6">
        <v>21194</v>
      </c>
      <c r="J10" t="s">
        <v>63</v>
      </c>
      <c r="K10">
        <v>0</v>
      </c>
      <c r="L10">
        <v>1940</v>
      </c>
      <c r="M10">
        <f t="shared" si="0"/>
        <v>86</v>
      </c>
      <c r="N10" t="str">
        <v>Headquarters
1940 Air Products Boulevard 
Allentown, Pennsylvania    18106-5500
United States
Main Phone: 610 481 4911</v>
      </c>
      <c r="O10" t="str">
        <f t="shared" si="1"/>
        <v>0</v>
      </c>
      <c r="P10">
        <v>61379.6</v>
      </c>
      <c r="Q10">
        <v>80965.8</v>
      </c>
      <c r="R10">
        <v>849.8</v>
      </c>
      <c r="S10" s="4">
        <f t="shared" si="2"/>
        <v>95.276300305954351</v>
      </c>
      <c r="T10">
        <v>12208.3</v>
      </c>
      <c r="U10" s="1">
        <v>6.9599999999999995E-2</v>
      </c>
    </row>
    <row r="11" spans="1:21" x14ac:dyDescent="0.3">
      <c r="A11" t="s">
        <v>64</v>
      </c>
      <c r="B11" t="s">
        <v>65</v>
      </c>
      <c r="C11" t="s">
        <v>41</v>
      </c>
      <c r="D11" t="s">
        <v>66</v>
      </c>
      <c r="E11" t="s">
        <v>22</v>
      </c>
      <c r="F11" t="s">
        <v>67</v>
      </c>
      <c r="G11" s="6">
        <v>0</v>
      </c>
      <c r="H11" s="6">
        <v>8200</v>
      </c>
      <c r="J11" t="s">
        <v>68</v>
      </c>
      <c r="K11">
        <v>0</v>
      </c>
      <c r="L11">
        <v>2007</v>
      </c>
      <c r="M11">
        <f t="shared" si="0"/>
        <v>19</v>
      </c>
      <c r="N11" t="str">
        <v>Headquarters
888 Brannan Street 
San Francisco, California    94103
United States
Main Phone: (415) 728-0108</v>
      </c>
      <c r="O11" t="str">
        <f t="shared" si="1"/>
        <v>1</v>
      </c>
      <c r="P11">
        <v>81000.3</v>
      </c>
      <c r="Q11">
        <v>72257.3</v>
      </c>
      <c r="R11">
        <v>2574</v>
      </c>
      <c r="S11" s="4">
        <f t="shared" si="2"/>
        <v>28.071989121989123</v>
      </c>
      <c r="T11">
        <v>12241</v>
      </c>
      <c r="U11" s="1">
        <v>0.21029999999999999</v>
      </c>
    </row>
    <row r="12" spans="1:21" x14ac:dyDescent="0.3">
      <c r="A12" t="s">
        <v>69</v>
      </c>
      <c r="B12" t="s">
        <v>70</v>
      </c>
      <c r="C12" t="s">
        <v>41</v>
      </c>
      <c r="D12" t="s">
        <v>71</v>
      </c>
      <c r="E12" t="s">
        <v>22</v>
      </c>
      <c r="F12" t="s">
        <v>43</v>
      </c>
      <c r="G12" s="6">
        <v>0</v>
      </c>
      <c r="H12" s="6">
        <v>11000</v>
      </c>
      <c r="J12" t="s">
        <v>72</v>
      </c>
      <c r="K12">
        <v>0</v>
      </c>
      <c r="L12">
        <v>1998</v>
      </c>
      <c r="M12">
        <f t="shared" si="0"/>
        <v>28</v>
      </c>
      <c r="N12" t="str">
        <v>Headquarters
145 Broadway 
Cambridge, Massachusetts    02142
United States
Main Phone: 617 444 3000
Main Fax: 617 444 3001</v>
      </c>
      <c r="O12" t="str">
        <f t="shared" si="1"/>
        <v>0</v>
      </c>
      <c r="P12">
        <v>14255.5</v>
      </c>
      <c r="Q12">
        <v>18011.2</v>
      </c>
      <c r="R12">
        <v>1180.9000000000001</v>
      </c>
      <c r="S12" s="4">
        <f t="shared" si="2"/>
        <v>15.252095859090524</v>
      </c>
      <c r="T12">
        <v>4208.2</v>
      </c>
      <c r="U12" s="1">
        <v>0.28060000000000002</v>
      </c>
    </row>
    <row r="13" spans="1:21" x14ac:dyDescent="0.3">
      <c r="A13" t="s">
        <v>73</v>
      </c>
      <c r="B13" t="s">
        <v>74</v>
      </c>
      <c r="C13" t="s">
        <v>20</v>
      </c>
      <c r="D13" t="s">
        <v>75</v>
      </c>
      <c r="E13" t="s">
        <v>22</v>
      </c>
      <c r="F13" t="s">
        <v>62</v>
      </c>
      <c r="G13" s="6">
        <v>0</v>
      </c>
      <c r="H13" s="6">
        <v>7800</v>
      </c>
      <c r="J13" t="s">
        <v>76</v>
      </c>
      <c r="K13">
        <v>0</v>
      </c>
      <c r="L13">
        <v>1887</v>
      </c>
      <c r="M13">
        <f t="shared" si="0"/>
        <v>139</v>
      </c>
      <c r="N13" t="str">
        <v>Headquarters
4250 Congress Street
Suite 900 
Charlotte, North Carolina    28209
United States
Main Phone: 980 299 5700
Main Fax: 980 299 5512</v>
      </c>
      <c r="O13" t="str">
        <f t="shared" si="1"/>
        <v>0</v>
      </c>
      <c r="P13">
        <v>21055.8</v>
      </c>
      <c r="Q13">
        <v>25177.9</v>
      </c>
      <c r="R13">
        <v>737.8</v>
      </c>
      <c r="S13" s="4">
        <f t="shared" si="2"/>
        <v>34.125643805909462</v>
      </c>
      <c r="T13">
        <v>5142.7</v>
      </c>
      <c r="U13" s="1">
        <v>0.14349999999999999</v>
      </c>
    </row>
    <row r="14" spans="1:21" x14ac:dyDescent="0.3">
      <c r="A14" t="s">
        <v>77</v>
      </c>
      <c r="B14" t="s">
        <v>78</v>
      </c>
      <c r="C14" t="s">
        <v>20</v>
      </c>
      <c r="D14" t="s">
        <v>79</v>
      </c>
      <c r="E14" t="s">
        <v>22</v>
      </c>
      <c r="F14" t="s">
        <v>80</v>
      </c>
      <c r="G14" s="6">
        <v>0</v>
      </c>
      <c r="H14" s="6">
        <v>514</v>
      </c>
      <c r="J14" t="s">
        <v>81</v>
      </c>
      <c r="K14">
        <v>0</v>
      </c>
      <c r="L14">
        <v>1994</v>
      </c>
      <c r="M14">
        <f t="shared" si="0"/>
        <v>32</v>
      </c>
      <c r="N14" t="str">
        <v>Headquarters
26 North Euclid Avenue 
Pasadena, California    91101-6104
United States
Main Phone: 626 578 0777
Main Fax: 626 578 0896</v>
      </c>
      <c r="O14" t="str">
        <f t="shared" si="1"/>
        <v>1</v>
      </c>
      <c r="P14">
        <v>9365.2000000000007</v>
      </c>
      <c r="Q14">
        <v>25263.599999999999</v>
      </c>
      <c r="R14">
        <v>1939.5</v>
      </c>
      <c r="S14" s="4">
        <f t="shared" si="2"/>
        <v>13.02583139984532</v>
      </c>
      <c r="T14">
        <v>3016.9</v>
      </c>
      <c r="U14" s="1">
        <v>0.64290000000000003</v>
      </c>
    </row>
    <row r="15" spans="1:21" x14ac:dyDescent="0.3">
      <c r="A15" t="s">
        <v>82</v>
      </c>
      <c r="B15" t="s">
        <v>83</v>
      </c>
      <c r="C15" t="s">
        <v>41</v>
      </c>
      <c r="D15" t="s">
        <v>84</v>
      </c>
      <c r="E15" t="s">
        <v>22</v>
      </c>
      <c r="F15" t="s">
        <v>33</v>
      </c>
      <c r="G15" s="6">
        <v>0</v>
      </c>
      <c r="H15" s="6">
        <v>21065</v>
      </c>
      <c r="J15" t="s">
        <v>85</v>
      </c>
      <c r="K15">
        <v>0</v>
      </c>
      <c r="L15">
        <v>1997</v>
      </c>
      <c r="M15">
        <f t="shared" si="0"/>
        <v>29</v>
      </c>
      <c r="N15" t="str">
        <v>Headquarters
410 North Scottsdale Road
Suite 1300 
Tempe, Arizona    85288
United States
Main Phone: 602 742 2000</v>
      </c>
      <c r="O15" t="str">
        <f t="shared" si="1"/>
        <v>0</v>
      </c>
      <c r="P15">
        <v>13550.7</v>
      </c>
      <c r="Q15">
        <v>12570.3</v>
      </c>
      <c r="R15">
        <v>851.3</v>
      </c>
      <c r="S15" s="4">
        <f t="shared" si="2"/>
        <v>14.766004933630917</v>
      </c>
      <c r="T15">
        <v>4035</v>
      </c>
      <c r="U15" s="1">
        <v>0.21099999999999999</v>
      </c>
    </row>
    <row r="16" spans="1:21" x14ac:dyDescent="0.3">
      <c r="A16" t="s">
        <v>86</v>
      </c>
      <c r="B16" t="s">
        <v>87</v>
      </c>
      <c r="C16" t="s">
        <v>41</v>
      </c>
      <c r="D16" t="s">
        <v>88</v>
      </c>
      <c r="E16" t="s">
        <v>22</v>
      </c>
      <c r="F16" t="s">
        <v>89</v>
      </c>
      <c r="G16" s="6">
        <v>0</v>
      </c>
      <c r="H16" s="6">
        <v>2948</v>
      </c>
      <c r="I16" t="s">
        <v>90</v>
      </c>
      <c r="J16" t="s">
        <v>90</v>
      </c>
      <c r="K16">
        <v>1</v>
      </c>
      <c r="L16" t="s">
        <v>91</v>
      </c>
      <c r="M16" t="e">
        <f t="shared" si="0"/>
        <v>#VALUE!</v>
      </c>
      <c r="N16" t="str">
        <v>Headquarters
4902 North Biltmore Lane 
Madison, Wisconsin    53718
United States
Main Phone: 608 458 3311</v>
      </c>
      <c r="O16" t="str">
        <f t="shared" si="1"/>
        <v>0</v>
      </c>
      <c r="P16">
        <v>18601.599999999999</v>
      </c>
      <c r="Q16">
        <v>30372.6</v>
      </c>
      <c r="R16">
        <v>1852</v>
      </c>
      <c r="S16" s="4">
        <f t="shared" si="2"/>
        <v>16.399892008639309</v>
      </c>
      <c r="T16">
        <v>4362</v>
      </c>
      <c r="U16" s="1">
        <v>0.42459999999999998</v>
      </c>
    </row>
    <row r="17" spans="1:21" x14ac:dyDescent="0.3">
      <c r="A17" t="s">
        <v>92</v>
      </c>
      <c r="B17" t="s">
        <v>93</v>
      </c>
      <c r="C17" t="s">
        <v>41</v>
      </c>
      <c r="D17" t="s">
        <v>94</v>
      </c>
      <c r="E17" t="s">
        <v>22</v>
      </c>
      <c r="F17" t="s">
        <v>95</v>
      </c>
      <c r="G17" s="6">
        <v>0</v>
      </c>
      <c r="H17" s="6">
        <v>190820</v>
      </c>
      <c r="J17" t="s">
        <v>96</v>
      </c>
      <c r="K17">
        <v>0</v>
      </c>
      <c r="L17">
        <v>1998</v>
      </c>
      <c r="M17">
        <f t="shared" si="0"/>
        <v>28</v>
      </c>
      <c r="N17" t="str">
        <v>Headquarters
1600 Amphitheatre Parkway 
Mountain View, California    94043
United States
Main Phone: 650-253-0000</v>
      </c>
      <c r="O17" t="str">
        <f t="shared" si="1"/>
        <v>1</v>
      </c>
      <c r="P17">
        <v>3769566.2</v>
      </c>
      <c r="Q17">
        <v>3709719.2</v>
      </c>
      <c r="R17">
        <v>150175</v>
      </c>
      <c r="S17" s="4">
        <f t="shared" si="2"/>
        <v>24.702641584817712</v>
      </c>
      <c r="T17">
        <v>402836</v>
      </c>
      <c r="U17" s="1">
        <v>0.37280000000000002</v>
      </c>
    </row>
    <row r="18" spans="1:21" x14ac:dyDescent="0.3">
      <c r="A18" t="s">
        <v>97</v>
      </c>
      <c r="B18" t="s">
        <v>98</v>
      </c>
      <c r="C18" t="s">
        <v>20</v>
      </c>
      <c r="D18" t="s">
        <v>99</v>
      </c>
      <c r="E18" t="s">
        <v>22</v>
      </c>
      <c r="F18" t="s">
        <v>100</v>
      </c>
      <c r="G18" s="6">
        <v>0</v>
      </c>
      <c r="H18" s="6">
        <v>5900</v>
      </c>
      <c r="J18" t="s">
        <v>101</v>
      </c>
      <c r="K18">
        <v>0</v>
      </c>
      <c r="L18">
        <v>1822</v>
      </c>
      <c r="M18">
        <f t="shared" si="0"/>
        <v>204</v>
      </c>
      <c r="N18" t="str">
        <v>Headquarters
6601 West Broad Street 
Richmond, Virginia    23230
United States
Main Phone: 804 274 2200</v>
      </c>
      <c r="O18" t="str">
        <f t="shared" si="1"/>
        <v>0</v>
      </c>
      <c r="P18">
        <v>115427.8</v>
      </c>
      <c r="Q18">
        <v>136712.79999999999</v>
      </c>
      <c r="R18">
        <v>12582</v>
      </c>
      <c r="S18" s="4">
        <f t="shared" si="2"/>
        <v>10.865744714671752</v>
      </c>
      <c r="T18">
        <v>20139</v>
      </c>
      <c r="U18" s="1">
        <v>0.62480000000000002</v>
      </c>
    </row>
    <row r="19" spans="1:21" x14ac:dyDescent="0.3">
      <c r="A19" t="s">
        <v>102</v>
      </c>
      <c r="B19" t="s">
        <v>103</v>
      </c>
      <c r="C19" t="s">
        <v>41</v>
      </c>
      <c r="D19" t="s">
        <v>104</v>
      </c>
      <c r="E19" t="s">
        <v>22</v>
      </c>
      <c r="F19" t="s">
        <v>67</v>
      </c>
      <c r="G19" s="6">
        <v>0</v>
      </c>
      <c r="H19" s="6">
        <v>1576000</v>
      </c>
      <c r="J19" t="s">
        <v>105</v>
      </c>
      <c r="K19">
        <v>0</v>
      </c>
      <c r="L19">
        <v>1994</v>
      </c>
      <c r="M19">
        <f t="shared" si="0"/>
        <v>32</v>
      </c>
      <c r="N19" t="str">
        <v>Headquarters
410 Terry Avenue North   
Seattle, Washington    98109-5210
United States
Main Phone: 206 266 1000</v>
      </c>
      <c r="O19" t="str">
        <f t="shared" si="1"/>
        <v>0</v>
      </c>
      <c r="P19">
        <v>2254333.4</v>
      </c>
      <c r="Q19">
        <v>2309851.4</v>
      </c>
      <c r="R19">
        <v>145731</v>
      </c>
      <c r="S19" s="4">
        <f t="shared" si="2"/>
        <v>15.850103272467765</v>
      </c>
      <c r="T19">
        <v>716924</v>
      </c>
      <c r="U19" s="1">
        <v>0.20330000000000001</v>
      </c>
    </row>
    <row r="20" spans="1:21" x14ac:dyDescent="0.3">
      <c r="A20" t="s">
        <v>106</v>
      </c>
      <c r="B20" t="s">
        <v>107</v>
      </c>
      <c r="C20" t="s">
        <v>20</v>
      </c>
      <c r="D20" t="s">
        <v>108</v>
      </c>
      <c r="E20" t="s">
        <v>22</v>
      </c>
      <c r="F20" t="s">
        <v>89</v>
      </c>
      <c r="G20" s="6">
        <v>0</v>
      </c>
      <c r="H20" s="6">
        <v>8913</v>
      </c>
      <c r="J20" t="s">
        <v>109</v>
      </c>
      <c r="K20">
        <v>0</v>
      </c>
      <c r="L20">
        <v>1881</v>
      </c>
      <c r="M20">
        <f t="shared" si="0"/>
        <v>145</v>
      </c>
      <c r="N20" t="str">
        <v>Headquarters
1901 Chouteau Avenue 
Saint Louis, Missouri    63103
United States
Main Phone: 314 621 3222</v>
      </c>
      <c r="O20" t="str">
        <f t="shared" si="1"/>
        <v>0</v>
      </c>
      <c r="P20">
        <v>31313.4</v>
      </c>
      <c r="Q20">
        <v>51335.4</v>
      </c>
      <c r="R20">
        <v>3719</v>
      </c>
      <c r="S20" s="4">
        <f t="shared" si="2"/>
        <v>13.803549341220759</v>
      </c>
      <c r="T20">
        <v>8470</v>
      </c>
      <c r="U20" s="1">
        <v>0.43909999999999999</v>
      </c>
    </row>
    <row r="21" spans="1:21" x14ac:dyDescent="0.3">
      <c r="A21" t="s">
        <v>110</v>
      </c>
      <c r="B21" t="s">
        <v>111</v>
      </c>
      <c r="C21" t="s">
        <v>41</v>
      </c>
      <c r="D21" t="s">
        <v>112</v>
      </c>
      <c r="E21" t="s">
        <v>22</v>
      </c>
      <c r="F21" t="s">
        <v>89</v>
      </c>
      <c r="G21" s="6">
        <v>0</v>
      </c>
      <c r="H21" s="6">
        <v>17581</v>
      </c>
      <c r="J21" t="s">
        <v>113</v>
      </c>
      <c r="K21">
        <v>0</v>
      </c>
      <c r="L21">
        <v>1906</v>
      </c>
      <c r="M21">
        <f t="shared" si="0"/>
        <v>120</v>
      </c>
      <c r="N21" t="str">
        <v>Headquarters
1 Riverside Plaza 
Columbus, Ohio    43215-2373
United States
Main Phone: 614 716 1000</v>
      </c>
      <c r="O21" t="str">
        <f t="shared" si="1"/>
        <v>0</v>
      </c>
      <c r="P21">
        <v>72378.100000000006</v>
      </c>
      <c r="Q21">
        <v>122733.1</v>
      </c>
      <c r="R21">
        <v>8957</v>
      </c>
      <c r="S21" s="4">
        <f t="shared" si="2"/>
        <v>13.702478508429163</v>
      </c>
      <c r="T21">
        <v>21876</v>
      </c>
      <c r="U21" s="1">
        <v>0.40939999999999999</v>
      </c>
    </row>
    <row r="22" spans="1:21" x14ac:dyDescent="0.3">
      <c r="A22" t="s">
        <v>114</v>
      </c>
      <c r="B22" t="s">
        <v>115</v>
      </c>
      <c r="C22" t="s">
        <v>20</v>
      </c>
      <c r="D22" t="s">
        <v>116</v>
      </c>
      <c r="E22" t="s">
        <v>22</v>
      </c>
      <c r="F22" t="s">
        <v>53</v>
      </c>
      <c r="G22" s="6">
        <v>1</v>
      </c>
      <c r="H22" s="6">
        <v>76800</v>
      </c>
      <c r="J22" t="s">
        <v>117</v>
      </c>
      <c r="K22">
        <v>0</v>
      </c>
      <c r="L22">
        <v>1850</v>
      </c>
      <c r="M22">
        <f t="shared" si="0"/>
        <v>176</v>
      </c>
      <c r="N22" t="str">
        <v>Headquarters
200 Vesey Street 
New York, New York    10285
United States
Main Phone: (212) 640-2000</v>
      </c>
      <c r="O22" t="str">
        <f t="shared" si="1"/>
        <v>0</v>
      </c>
      <c r="P22">
        <v>212095.1</v>
      </c>
      <c r="Q22" t="s">
        <v>91</v>
      </c>
      <c r="R22">
        <v>0</v>
      </c>
      <c r="S22" s="4" t="e">
        <f t="shared" si="2"/>
        <v>#VALUE!</v>
      </c>
      <c r="T22">
        <v>66973</v>
      </c>
      <c r="U22" s="1">
        <v>0</v>
      </c>
    </row>
    <row r="23" spans="1:21" x14ac:dyDescent="0.3">
      <c r="A23" t="s">
        <v>118</v>
      </c>
      <c r="B23" t="s">
        <v>119</v>
      </c>
      <c r="C23" t="s">
        <v>20</v>
      </c>
      <c r="D23" t="s">
        <v>120</v>
      </c>
      <c r="E23" t="s">
        <v>22</v>
      </c>
      <c r="F23" t="s">
        <v>53</v>
      </c>
      <c r="G23" s="6">
        <v>1</v>
      </c>
      <c r="H23" s="6">
        <v>22100</v>
      </c>
      <c r="J23" t="s">
        <v>121</v>
      </c>
      <c r="K23">
        <v>0</v>
      </c>
      <c r="L23">
        <v>1919</v>
      </c>
      <c r="M23">
        <f t="shared" si="0"/>
        <v>107</v>
      </c>
      <c r="N23" t="str">
        <v>Headquarters
1271 Avenue of the Americas 
New York, New York    10020
United States
Main Phone: 212 770 7000</v>
      </c>
      <c r="O23" t="str">
        <f t="shared" si="1"/>
        <v>0</v>
      </c>
      <c r="P23">
        <v>43187.7</v>
      </c>
      <c r="Q23">
        <v>51983.7</v>
      </c>
      <c r="R23">
        <v>7920</v>
      </c>
      <c r="S23" s="4">
        <f t="shared" si="2"/>
        <v>6.5635984848484847</v>
      </c>
      <c r="T23">
        <v>26611</v>
      </c>
      <c r="U23" s="1">
        <v>0.29759999999999998</v>
      </c>
    </row>
    <row r="24" spans="1:21" x14ac:dyDescent="0.3">
      <c r="A24" t="s">
        <v>122</v>
      </c>
      <c r="B24" t="s">
        <v>123</v>
      </c>
      <c r="C24" t="s">
        <v>20</v>
      </c>
      <c r="D24" t="s">
        <v>124</v>
      </c>
      <c r="E24" t="s">
        <v>22</v>
      </c>
      <c r="F24" t="s">
        <v>80</v>
      </c>
      <c r="G24" s="6">
        <v>0</v>
      </c>
      <c r="H24" s="6">
        <v>4866</v>
      </c>
      <c r="J24" t="s">
        <v>125</v>
      </c>
      <c r="K24">
        <v>0</v>
      </c>
      <c r="L24">
        <v>1995</v>
      </c>
      <c r="M24">
        <f t="shared" si="0"/>
        <v>31</v>
      </c>
      <c r="N24" t="str">
        <v>Headquarters
222 Berkeley Street 
Boston, Massachusetts    02116
United States
Main Phone: 617 375 7500
Main Fax: 617 375 7575</v>
      </c>
      <c r="O24" t="str">
        <f t="shared" si="1"/>
        <v>0</v>
      </c>
      <c r="P24">
        <v>89423</v>
      </c>
      <c r="Q24">
        <v>139614.9</v>
      </c>
      <c r="R24">
        <v>6907.7</v>
      </c>
      <c r="S24" s="4">
        <f t="shared" si="2"/>
        <v>20.211488628631816</v>
      </c>
      <c r="T24">
        <v>10644.6</v>
      </c>
      <c r="U24" s="1">
        <v>0.64890000000000003</v>
      </c>
    </row>
    <row r="25" spans="1:21" x14ac:dyDescent="0.3">
      <c r="A25" t="s">
        <v>126</v>
      </c>
      <c r="B25" t="s">
        <v>127</v>
      </c>
      <c r="C25" t="s">
        <v>20</v>
      </c>
      <c r="D25" t="s">
        <v>128</v>
      </c>
      <c r="E25" t="s">
        <v>22</v>
      </c>
      <c r="F25" t="s">
        <v>89</v>
      </c>
      <c r="G25" s="6">
        <v>0</v>
      </c>
      <c r="H25" s="6">
        <v>7000</v>
      </c>
      <c r="I25" t="s">
        <v>129</v>
      </c>
      <c r="J25" t="s">
        <v>129</v>
      </c>
      <c r="K25">
        <v>1</v>
      </c>
      <c r="L25">
        <v>1886</v>
      </c>
      <c r="M25">
        <f t="shared" si="0"/>
        <v>140</v>
      </c>
      <c r="N25" t="str">
        <v>Headquarters
1 Water Street 
Camden, New Jersey    08102-1658
United States
Main Phone: 856 955 4001</v>
      </c>
      <c r="O25" t="str">
        <f t="shared" si="1"/>
        <v>0</v>
      </c>
      <c r="P25">
        <v>26554.2</v>
      </c>
      <c r="Q25">
        <v>42330.2</v>
      </c>
      <c r="R25">
        <v>2789</v>
      </c>
      <c r="S25" s="4">
        <f t="shared" si="2"/>
        <v>15.177554679096449</v>
      </c>
      <c r="T25">
        <v>5140</v>
      </c>
      <c r="U25" s="1">
        <v>0.54259999999999997</v>
      </c>
    </row>
    <row r="26" spans="1:21" x14ac:dyDescent="0.3">
      <c r="A26" t="s">
        <v>130</v>
      </c>
      <c r="B26" t="s">
        <v>131</v>
      </c>
      <c r="C26" t="s">
        <v>20</v>
      </c>
      <c r="D26" t="s">
        <v>132</v>
      </c>
      <c r="E26" t="s">
        <v>22</v>
      </c>
      <c r="F26" t="s">
        <v>53</v>
      </c>
      <c r="G26" s="6">
        <v>1</v>
      </c>
      <c r="H26" s="6">
        <v>13600</v>
      </c>
      <c r="J26" t="s">
        <v>133</v>
      </c>
      <c r="K26">
        <v>0</v>
      </c>
      <c r="L26">
        <v>1894</v>
      </c>
      <c r="M26">
        <f t="shared" si="0"/>
        <v>132</v>
      </c>
      <c r="N26" t="str">
        <v>Headquarters
1099 Ameriprise Financial Center 
Minneapolis, Minnesota    55474
United States
Main Phone: 612-671-3131</v>
      </c>
      <c r="O26" t="str">
        <f t="shared" si="1"/>
        <v>0</v>
      </c>
      <c r="P26">
        <v>42865.1</v>
      </c>
      <c r="Q26">
        <v>36541.1</v>
      </c>
      <c r="R26">
        <v>0</v>
      </c>
      <c r="S26" s="4" t="e">
        <f t="shared" si="2"/>
        <v>#DIV/0!</v>
      </c>
      <c r="T26">
        <v>18911</v>
      </c>
      <c r="U26" s="1">
        <v>0</v>
      </c>
    </row>
    <row r="27" spans="1:21" x14ac:dyDescent="0.3">
      <c r="A27" t="s">
        <v>134</v>
      </c>
      <c r="B27" t="s">
        <v>135</v>
      </c>
      <c r="C27" t="s">
        <v>20</v>
      </c>
      <c r="D27" t="s">
        <v>136</v>
      </c>
      <c r="E27" t="s">
        <v>22</v>
      </c>
      <c r="F27" t="s">
        <v>28</v>
      </c>
      <c r="G27" s="6">
        <v>0</v>
      </c>
      <c r="H27" s="6">
        <v>22500</v>
      </c>
      <c r="J27" t="s">
        <v>137</v>
      </c>
      <c r="K27">
        <v>0</v>
      </c>
      <c r="L27">
        <v>1930</v>
      </c>
      <c r="M27">
        <f t="shared" si="0"/>
        <v>96</v>
      </c>
      <c r="N27" t="str">
        <v>Headquarters
1100 Cassatt Road 
Berwyn, Pennsylvania    19312-1177
United States
Main Phone: 610 647 2121</v>
      </c>
      <c r="O27" t="str">
        <f t="shared" si="1"/>
        <v>0</v>
      </c>
      <c r="P27">
        <v>54775.9</v>
      </c>
      <c r="Q27">
        <v>56889.5</v>
      </c>
      <c r="R27">
        <v>2358.4</v>
      </c>
      <c r="S27" s="4">
        <f t="shared" si="2"/>
        <v>24.122074287652644</v>
      </c>
      <c r="T27">
        <v>7401.1</v>
      </c>
      <c r="U27" s="1">
        <v>0.31869999999999998</v>
      </c>
    </row>
    <row r="28" spans="1:21" x14ac:dyDescent="0.3">
      <c r="A28" t="s">
        <v>138</v>
      </c>
      <c r="B28" t="s">
        <v>139</v>
      </c>
      <c r="C28" t="s">
        <v>41</v>
      </c>
      <c r="D28" t="s">
        <v>140</v>
      </c>
      <c r="E28" t="s">
        <v>22</v>
      </c>
      <c r="F28" t="s">
        <v>33</v>
      </c>
      <c r="G28" s="6">
        <v>0</v>
      </c>
      <c r="H28" s="6">
        <v>31500</v>
      </c>
      <c r="J28" t="s">
        <v>141</v>
      </c>
      <c r="K28">
        <v>0</v>
      </c>
      <c r="L28">
        <v>1980</v>
      </c>
      <c r="M28">
        <f t="shared" si="0"/>
        <v>46</v>
      </c>
      <c r="N28" t="str">
        <v>Headquarters
One Amgen Center Drive 
Thousand Oaks, California    91320-1799
United States
Main Phone: 805 447 1000
Main Fax: 805 447 1010</v>
      </c>
      <c r="O28" t="str">
        <f t="shared" si="1"/>
        <v>1</v>
      </c>
      <c r="P28">
        <v>209244.5</v>
      </c>
      <c r="Q28">
        <v>255550.5</v>
      </c>
      <c r="R28">
        <v>16617</v>
      </c>
      <c r="S28" s="4">
        <f t="shared" si="2"/>
        <v>15.378858999819462</v>
      </c>
      <c r="T28">
        <v>36751</v>
      </c>
      <c r="U28" s="1">
        <v>0.45219999999999999</v>
      </c>
    </row>
    <row r="29" spans="1:21" x14ac:dyDescent="0.3">
      <c r="A29" t="s">
        <v>142</v>
      </c>
      <c r="B29" t="s">
        <v>143</v>
      </c>
      <c r="C29" t="s">
        <v>20</v>
      </c>
      <c r="D29" t="s">
        <v>144</v>
      </c>
      <c r="E29" t="s">
        <v>22</v>
      </c>
      <c r="F29" t="s">
        <v>43</v>
      </c>
      <c r="G29" s="6">
        <v>0</v>
      </c>
      <c r="H29" s="6">
        <v>170000</v>
      </c>
      <c r="J29" t="s">
        <v>145</v>
      </c>
      <c r="K29">
        <v>0</v>
      </c>
      <c r="L29">
        <v>1932</v>
      </c>
      <c r="M29">
        <f t="shared" si="0"/>
        <v>94</v>
      </c>
      <c r="N29" t="str">
        <v>Headquarters
358 Hall Avenue
PO Box 5030 
Wallingford, Connecticut    06492
United States
Main Phone: 203 265 8900</v>
      </c>
      <c r="O29" t="str">
        <f t="shared" si="1"/>
        <v>0</v>
      </c>
      <c r="P29">
        <v>179539.1</v>
      </c>
      <c r="Q29">
        <v>184269.2</v>
      </c>
      <c r="R29">
        <v>6970.8</v>
      </c>
      <c r="S29" s="4">
        <f t="shared" si="2"/>
        <v>26.434440810236989</v>
      </c>
      <c r="T29">
        <v>23094.7</v>
      </c>
      <c r="U29" s="1">
        <v>0.30180000000000001</v>
      </c>
    </row>
    <row r="30" spans="1:21" x14ac:dyDescent="0.3">
      <c r="A30" t="s">
        <v>146</v>
      </c>
      <c r="B30" t="s">
        <v>147</v>
      </c>
      <c r="C30" t="s">
        <v>41</v>
      </c>
      <c r="D30" t="s">
        <v>148</v>
      </c>
      <c r="E30" t="s">
        <v>22</v>
      </c>
      <c r="F30" t="s">
        <v>43</v>
      </c>
      <c r="G30" s="6">
        <v>0</v>
      </c>
      <c r="H30" s="6">
        <v>24500</v>
      </c>
      <c r="J30" t="s">
        <v>149</v>
      </c>
      <c r="K30">
        <v>0</v>
      </c>
      <c r="L30">
        <v>1965</v>
      </c>
      <c r="M30">
        <f t="shared" si="0"/>
        <v>61</v>
      </c>
      <c r="N30" t="str">
        <v>Headquarters
One Analog Way 
Wilmington, Massachusetts    01887
United States
Main Phone: 781 935 5565</v>
      </c>
      <c r="O30" t="str">
        <f t="shared" si="1"/>
        <v>0</v>
      </c>
      <c r="P30">
        <v>173698.2</v>
      </c>
      <c r="Q30">
        <v>178350.4</v>
      </c>
      <c r="R30">
        <v>5459.1</v>
      </c>
      <c r="S30" s="4">
        <f t="shared" si="2"/>
        <v>32.67029363814548</v>
      </c>
      <c r="T30">
        <v>11756.8</v>
      </c>
      <c r="U30" s="1">
        <v>0.46429999999999999</v>
      </c>
    </row>
    <row r="31" spans="1:21" x14ac:dyDescent="0.3">
      <c r="A31" t="s">
        <v>150</v>
      </c>
      <c r="B31" t="s">
        <v>151</v>
      </c>
      <c r="C31" t="s">
        <v>41</v>
      </c>
      <c r="D31" t="s">
        <v>152</v>
      </c>
      <c r="E31" t="s">
        <v>22</v>
      </c>
      <c r="F31" t="s">
        <v>153</v>
      </c>
      <c r="G31" s="6">
        <v>0</v>
      </c>
      <c r="H31" s="6">
        <v>1791</v>
      </c>
      <c r="J31" t="s">
        <v>154</v>
      </c>
      <c r="K31">
        <v>0</v>
      </c>
      <c r="L31">
        <v>1954</v>
      </c>
      <c r="M31">
        <f t="shared" si="0"/>
        <v>72</v>
      </c>
      <c r="N31" t="str">
        <v>Headquarters
2000 W. Sam Houston Pkwy. S.
Suite 200 
Houston, Texas    77042-3643
United States
Main Phone: 713 296 6000</v>
      </c>
      <c r="O31" t="str">
        <f t="shared" si="1"/>
        <v>0</v>
      </c>
      <c r="P31">
        <v>10728.2</v>
      </c>
      <c r="Q31">
        <v>15932.2</v>
      </c>
      <c r="R31">
        <v>5146</v>
      </c>
      <c r="S31" s="4">
        <f t="shared" si="2"/>
        <v>3.0960357559269336</v>
      </c>
      <c r="T31">
        <v>8685</v>
      </c>
      <c r="U31" s="1">
        <v>0.59250000000000003</v>
      </c>
    </row>
    <row r="32" spans="1:21" x14ac:dyDescent="0.3">
      <c r="A32" t="s">
        <v>155</v>
      </c>
      <c r="B32" t="s">
        <v>156</v>
      </c>
      <c r="C32" t="s">
        <v>20</v>
      </c>
      <c r="D32" t="s">
        <v>157</v>
      </c>
      <c r="E32" t="s">
        <v>22</v>
      </c>
      <c r="F32" t="s">
        <v>53</v>
      </c>
      <c r="G32" s="6">
        <v>1</v>
      </c>
      <c r="H32" s="6">
        <v>6140</v>
      </c>
      <c r="J32" t="s">
        <v>158</v>
      </c>
      <c r="K32">
        <v>0</v>
      </c>
      <c r="L32">
        <v>1990</v>
      </c>
      <c r="M32">
        <f t="shared" si="0"/>
        <v>36</v>
      </c>
      <c r="N32" t="str">
        <v>Headquarters
9 West 57th Street
41st Floor 
New York, New York    10019
United States
Main Phone: 212 515 3200</v>
      </c>
      <c r="O32" t="str">
        <f t="shared" si="1"/>
        <v>0</v>
      </c>
      <c r="P32">
        <v>60484.7</v>
      </c>
      <c r="Q32" t="s">
        <v>91</v>
      </c>
      <c r="R32">
        <v>0</v>
      </c>
      <c r="S32" s="4" t="e">
        <f t="shared" si="2"/>
        <v>#VALUE!</v>
      </c>
      <c r="T32">
        <v>31793</v>
      </c>
      <c r="U32" s="1">
        <v>0</v>
      </c>
    </row>
    <row r="33" spans="1:21" x14ac:dyDescent="0.3">
      <c r="A33" t="s">
        <v>159</v>
      </c>
      <c r="B33" t="s">
        <v>160</v>
      </c>
      <c r="C33" t="s">
        <v>41</v>
      </c>
      <c r="D33" t="s">
        <v>161</v>
      </c>
      <c r="E33" t="s">
        <v>22</v>
      </c>
      <c r="F33" t="s">
        <v>43</v>
      </c>
      <c r="G33" s="6">
        <v>0</v>
      </c>
      <c r="H33" s="6">
        <v>166000</v>
      </c>
      <c r="J33" t="s">
        <v>162</v>
      </c>
      <c r="K33">
        <v>0</v>
      </c>
      <c r="L33">
        <v>1976</v>
      </c>
      <c r="M33">
        <f t="shared" si="0"/>
        <v>50</v>
      </c>
      <c r="N33" t="str">
        <v>Headquarters
One Apple Park Way 
Cupertino, California    95014
United States
Main Phone: (408) 996-1010</v>
      </c>
      <c r="O33" t="str">
        <f t="shared" si="1"/>
        <v>1</v>
      </c>
      <c r="P33">
        <v>3878463.6</v>
      </c>
      <c r="Q33">
        <v>3824177.6</v>
      </c>
      <c r="R33">
        <v>152902</v>
      </c>
      <c r="S33" s="4">
        <f t="shared" si="2"/>
        <v>25.010644726687683</v>
      </c>
      <c r="T33">
        <v>435617</v>
      </c>
      <c r="U33" s="1">
        <v>0.35099999999999998</v>
      </c>
    </row>
    <row r="34" spans="1:21" x14ac:dyDescent="0.3">
      <c r="A34" t="s">
        <v>163</v>
      </c>
      <c r="B34" t="s">
        <v>164</v>
      </c>
      <c r="C34" t="s">
        <v>41</v>
      </c>
      <c r="D34" t="s">
        <v>165</v>
      </c>
      <c r="E34" t="s">
        <v>22</v>
      </c>
      <c r="F34" t="s">
        <v>43</v>
      </c>
      <c r="G34" s="6">
        <v>0</v>
      </c>
      <c r="H34" s="6">
        <v>36500</v>
      </c>
      <c r="J34" t="s">
        <v>166</v>
      </c>
      <c r="K34">
        <v>0</v>
      </c>
      <c r="L34">
        <v>1967</v>
      </c>
      <c r="M34">
        <f t="shared" si="0"/>
        <v>59</v>
      </c>
      <c r="N34" t="str">
        <v>Headquarters
3050 Bowers Avenue
P.O. Box 58039 
Santa Clara, California    95052-8039
United States
Main Phone: 408 727 5555</v>
      </c>
      <c r="O34" t="str">
        <f t="shared" si="1"/>
        <v>1</v>
      </c>
      <c r="P34">
        <v>295461</v>
      </c>
      <c r="Q34">
        <v>294140</v>
      </c>
      <c r="R34">
        <v>8889</v>
      </c>
      <c r="S34" s="4">
        <f t="shared" si="2"/>
        <v>33.090336370795363</v>
      </c>
      <c r="T34">
        <v>28214</v>
      </c>
      <c r="U34" s="1">
        <v>0.31509999999999999</v>
      </c>
    </row>
    <row r="35" spans="1:21" x14ac:dyDescent="0.3">
      <c r="A35" t="s">
        <v>167</v>
      </c>
      <c r="B35" t="s">
        <v>168</v>
      </c>
      <c r="C35" t="s">
        <v>41</v>
      </c>
      <c r="D35" t="s">
        <v>169</v>
      </c>
      <c r="E35" t="s">
        <v>22</v>
      </c>
      <c r="F35" t="s">
        <v>43</v>
      </c>
      <c r="G35" s="6">
        <v>0</v>
      </c>
      <c r="H35" s="6">
        <v>887</v>
      </c>
      <c r="J35" t="s">
        <v>170</v>
      </c>
      <c r="K35">
        <v>0</v>
      </c>
      <c r="L35">
        <v>2011</v>
      </c>
      <c r="M35">
        <f t="shared" si="0"/>
        <v>15</v>
      </c>
      <c r="N35" t="str">
        <v>Headquarters
1100 Page Mill Road 
Palo Alto, California    94304
United States
Main Phone: 800 839 9646</v>
      </c>
      <c r="O35" t="str">
        <f t="shared" si="1"/>
        <v>1</v>
      </c>
      <c r="P35">
        <v>146638.39999999999</v>
      </c>
      <c r="Q35">
        <v>147818.70000000001</v>
      </c>
      <c r="R35">
        <v>4275</v>
      </c>
      <c r="S35" s="4">
        <f t="shared" si="2"/>
        <v>34.577473684210531</v>
      </c>
      <c r="T35">
        <v>5480.7</v>
      </c>
      <c r="U35" s="1">
        <v>0.78</v>
      </c>
    </row>
    <row r="36" spans="1:21" x14ac:dyDescent="0.3">
      <c r="A36" t="s">
        <v>171</v>
      </c>
      <c r="B36" t="s">
        <v>172</v>
      </c>
      <c r="C36" t="s">
        <v>20</v>
      </c>
      <c r="D36" t="s">
        <v>173</v>
      </c>
      <c r="E36" t="s">
        <v>22</v>
      </c>
      <c r="F36" t="s">
        <v>100</v>
      </c>
      <c r="G36" s="6">
        <v>0</v>
      </c>
      <c r="H36" s="6">
        <v>41147</v>
      </c>
      <c r="J36" t="s">
        <v>174</v>
      </c>
      <c r="K36">
        <v>0</v>
      </c>
      <c r="L36">
        <v>1902</v>
      </c>
      <c r="M36">
        <f t="shared" si="0"/>
        <v>124</v>
      </c>
      <c r="N36" t="str">
        <v>Headquarters
77 West Wacker Drive
Suite 4600 
Chicago, Illinois    60601
United States
Main Phone: 312 634 8100</v>
      </c>
      <c r="O36" t="str">
        <f t="shared" si="1"/>
        <v>0</v>
      </c>
      <c r="P36">
        <v>33222.199999999997</v>
      </c>
      <c r="Q36">
        <v>42227.199999999997</v>
      </c>
      <c r="R36">
        <v>2521</v>
      </c>
      <c r="S36" s="4">
        <f t="shared" si="2"/>
        <v>16.750178500595002</v>
      </c>
      <c r="T36">
        <v>80269</v>
      </c>
      <c r="U36" s="1">
        <v>3.1399999999999997E-2</v>
      </c>
    </row>
    <row r="37" spans="1:21" x14ac:dyDescent="0.3">
      <c r="A37" t="s">
        <v>175</v>
      </c>
      <c r="B37" t="s">
        <v>176</v>
      </c>
      <c r="C37" t="s">
        <v>20</v>
      </c>
      <c r="D37" t="s">
        <v>177</v>
      </c>
      <c r="E37" t="s">
        <v>22</v>
      </c>
      <c r="F37" t="s">
        <v>53</v>
      </c>
      <c r="G37" s="6">
        <v>1</v>
      </c>
      <c r="H37" s="6">
        <v>3967</v>
      </c>
      <c r="J37" t="s">
        <v>178</v>
      </c>
      <c r="K37">
        <v>0</v>
      </c>
      <c r="L37">
        <v>1997</v>
      </c>
      <c r="M37">
        <f t="shared" si="0"/>
        <v>29</v>
      </c>
      <c r="N37" t="str">
        <v>Headquarters
1800 Avenue of the Stars
Suite 1400 
Los Angeles, California    90067
United States
Main Phone: (312) 252 7500</v>
      </c>
      <c r="O37" t="str">
        <f t="shared" si="1"/>
        <v>1</v>
      </c>
      <c r="P37">
        <v>25134.2</v>
      </c>
      <c r="Q37">
        <v>43794.400000000001</v>
      </c>
      <c r="R37">
        <v>1241.0999999999999</v>
      </c>
      <c r="S37" s="4">
        <f t="shared" si="2"/>
        <v>35.286761743614541</v>
      </c>
      <c r="T37">
        <v>5601.5</v>
      </c>
      <c r="U37" s="1">
        <v>0.22159999999999999</v>
      </c>
    </row>
    <row r="38" spans="1:21" x14ac:dyDescent="0.3">
      <c r="A38" t="s">
        <v>179</v>
      </c>
      <c r="B38" t="s">
        <v>180</v>
      </c>
      <c r="C38" t="s">
        <v>20</v>
      </c>
      <c r="D38" t="s">
        <v>181</v>
      </c>
      <c r="E38" t="s">
        <v>22</v>
      </c>
      <c r="F38" t="s">
        <v>43</v>
      </c>
      <c r="G38" s="6">
        <v>0</v>
      </c>
      <c r="H38" s="6">
        <v>5115</v>
      </c>
      <c r="I38" t="s">
        <v>182</v>
      </c>
      <c r="J38" t="s">
        <v>182</v>
      </c>
      <c r="K38">
        <v>1</v>
      </c>
      <c r="L38">
        <v>2004</v>
      </c>
      <c r="M38">
        <f t="shared" si="0"/>
        <v>22</v>
      </c>
      <c r="N38" t="str">
        <v>Headquarters
5453 Great America Parkway 
Santa Clara, California    95054
United States
Main Phone: 408 547 5500
Main Fax: 408 538 8920</v>
      </c>
      <c r="O38" t="str">
        <f t="shared" si="1"/>
        <v>1</v>
      </c>
      <c r="P38">
        <v>167747.79999999999</v>
      </c>
      <c r="Q38">
        <v>157026.9</v>
      </c>
      <c r="R38">
        <v>3928.7</v>
      </c>
      <c r="S38" s="4">
        <f t="shared" si="2"/>
        <v>39.969175554254591</v>
      </c>
      <c r="T38">
        <v>9005.7000000000007</v>
      </c>
      <c r="U38" s="1">
        <v>0.43619999999999998</v>
      </c>
    </row>
    <row r="39" spans="1:21" x14ac:dyDescent="0.3">
      <c r="A39" t="s">
        <v>183</v>
      </c>
      <c r="B39" t="s">
        <v>184</v>
      </c>
      <c r="C39" t="s">
        <v>20</v>
      </c>
      <c r="D39" t="s">
        <v>185</v>
      </c>
      <c r="E39" t="s">
        <v>22</v>
      </c>
      <c r="F39" t="s">
        <v>53</v>
      </c>
      <c r="G39" s="6">
        <v>1</v>
      </c>
      <c r="H39" s="6">
        <v>72000</v>
      </c>
      <c r="J39" t="s">
        <v>186</v>
      </c>
      <c r="K39">
        <v>0</v>
      </c>
      <c r="L39">
        <v>1927</v>
      </c>
      <c r="M39">
        <f t="shared" si="0"/>
        <v>99</v>
      </c>
      <c r="N39" t="str">
        <v>Headquarters
2850 Golf Road 
Rolling Meadows, Illinois    60008-4050
United States
Main Phone: (630) 773-3800</v>
      </c>
      <c r="O39" t="str">
        <f t="shared" si="1"/>
        <v>0</v>
      </c>
      <c r="P39">
        <v>58670.2</v>
      </c>
      <c r="Q39">
        <v>70917.2</v>
      </c>
      <c r="R39">
        <v>3479</v>
      </c>
      <c r="S39" s="4">
        <f t="shared" si="2"/>
        <v>20.384363322793906</v>
      </c>
      <c r="T39">
        <v>13009</v>
      </c>
      <c r="U39" s="1">
        <v>0.26740000000000003</v>
      </c>
    </row>
    <row r="40" spans="1:21" x14ac:dyDescent="0.3">
      <c r="A40" t="s">
        <v>187</v>
      </c>
      <c r="B40" t="s">
        <v>188</v>
      </c>
      <c r="C40" t="s">
        <v>20</v>
      </c>
      <c r="D40" t="s">
        <v>189</v>
      </c>
      <c r="E40" t="s">
        <v>22</v>
      </c>
      <c r="F40" t="s">
        <v>53</v>
      </c>
      <c r="G40" s="6">
        <v>1</v>
      </c>
      <c r="H40" s="6">
        <v>14800</v>
      </c>
      <c r="J40" t="s">
        <v>190</v>
      </c>
      <c r="K40">
        <v>0</v>
      </c>
      <c r="L40">
        <v>1892</v>
      </c>
      <c r="M40">
        <f t="shared" si="0"/>
        <v>134</v>
      </c>
      <c r="N40" t="str">
        <v>Headquarters
260 Interstate North Circle SE 
Atlanta, Georgia    30339-2210
United States
Main Phone: 770 763 1000</v>
      </c>
      <c r="O40" t="str">
        <f t="shared" si="1"/>
        <v>0</v>
      </c>
      <c r="P40">
        <v>11410.6</v>
      </c>
      <c r="Q40">
        <v>11857.3</v>
      </c>
      <c r="R40">
        <v>1475.7</v>
      </c>
      <c r="S40" s="4">
        <f t="shared" si="2"/>
        <v>8.0350342210476384</v>
      </c>
      <c r="T40">
        <v>12814.3</v>
      </c>
      <c r="U40" s="1">
        <v>0.1152</v>
      </c>
    </row>
    <row r="41" spans="1:21" x14ac:dyDescent="0.3">
      <c r="A41" t="s">
        <v>191</v>
      </c>
      <c r="B41" t="s">
        <v>192</v>
      </c>
      <c r="C41" t="s">
        <v>20</v>
      </c>
      <c r="D41" t="s">
        <v>193</v>
      </c>
      <c r="E41" t="s">
        <v>22</v>
      </c>
      <c r="F41" t="s">
        <v>95</v>
      </c>
      <c r="G41" s="6">
        <v>0</v>
      </c>
      <c r="H41" s="6">
        <v>133030</v>
      </c>
      <c r="J41" t="s">
        <v>194</v>
      </c>
      <c r="K41">
        <v>0</v>
      </c>
      <c r="L41">
        <v>1983</v>
      </c>
      <c r="M41">
        <f t="shared" si="0"/>
        <v>43</v>
      </c>
      <c r="N41" t="str">
        <v>Headquarters
208 South Akard Street 
Dallas, Texas    75202
United States
Main Phone: 210 821 4105</v>
      </c>
      <c r="O41" t="str">
        <f t="shared" si="1"/>
        <v>0</v>
      </c>
      <c r="P41">
        <v>196086.2</v>
      </c>
      <c r="Q41">
        <v>355371.2</v>
      </c>
      <c r="R41">
        <v>44243</v>
      </c>
      <c r="S41" s="4">
        <f t="shared" si="2"/>
        <v>8.0322582103383589</v>
      </c>
      <c r="T41">
        <v>125648</v>
      </c>
      <c r="U41" s="1">
        <v>0.35210000000000002</v>
      </c>
    </row>
    <row r="42" spans="1:21" x14ac:dyDescent="0.3">
      <c r="A42" t="s">
        <v>195</v>
      </c>
      <c r="B42" t="s">
        <v>196</v>
      </c>
      <c r="C42" t="s">
        <v>20</v>
      </c>
      <c r="D42" t="s">
        <v>197</v>
      </c>
      <c r="E42" t="s">
        <v>22</v>
      </c>
      <c r="F42" t="s">
        <v>89</v>
      </c>
      <c r="G42" s="6">
        <v>0</v>
      </c>
      <c r="H42" s="6">
        <v>5487</v>
      </c>
      <c r="J42" t="s">
        <v>198</v>
      </c>
      <c r="K42">
        <v>0</v>
      </c>
      <c r="L42">
        <v>1906</v>
      </c>
      <c r="M42">
        <f t="shared" si="0"/>
        <v>120</v>
      </c>
      <c r="N42" t="str">
        <v>Headquarters
1800 Three Lincoln Centre
5430 LBJ Freeway 
Dallas, Texas    75240
United States
Main Phone: 972 934 9227</v>
      </c>
      <c r="O42" t="str">
        <f t="shared" si="1"/>
        <v>0</v>
      </c>
      <c r="P42">
        <v>30902.3</v>
      </c>
      <c r="Q42">
        <v>40168.199999999997</v>
      </c>
      <c r="R42">
        <v>2391.6</v>
      </c>
      <c r="S42" s="4">
        <f t="shared" si="2"/>
        <v>16.795534370296036</v>
      </c>
      <c r="T42">
        <v>4869.3</v>
      </c>
      <c r="U42" s="1">
        <v>0.49120000000000003</v>
      </c>
    </row>
    <row r="43" spans="1:21" x14ac:dyDescent="0.3">
      <c r="A43" t="s">
        <v>199</v>
      </c>
      <c r="B43" t="s">
        <v>200</v>
      </c>
      <c r="C43" t="s">
        <v>41</v>
      </c>
      <c r="D43" t="s">
        <v>201</v>
      </c>
      <c r="E43" t="s">
        <v>22</v>
      </c>
      <c r="F43" t="s">
        <v>43</v>
      </c>
      <c r="G43" s="6">
        <v>0</v>
      </c>
      <c r="H43" s="6">
        <v>15300</v>
      </c>
      <c r="J43" t="s">
        <v>202</v>
      </c>
      <c r="K43">
        <v>0</v>
      </c>
      <c r="L43">
        <v>1982</v>
      </c>
      <c r="M43">
        <f t="shared" si="0"/>
        <v>44</v>
      </c>
      <c r="N43" t="str">
        <v>Headquarters
One Market Street
Suite 400 
San Francisco, California    94105
United States
Main Phone: 415 507 5000</v>
      </c>
      <c r="O43" t="str">
        <f t="shared" si="1"/>
        <v>1</v>
      </c>
      <c r="P43">
        <v>52022.5</v>
      </c>
      <c r="Q43">
        <v>51783.5</v>
      </c>
      <c r="R43">
        <v>1892</v>
      </c>
      <c r="S43" s="4">
        <f t="shared" si="2"/>
        <v>27.369714587737842</v>
      </c>
      <c r="T43">
        <v>7206</v>
      </c>
      <c r="U43" s="1">
        <v>0.2626</v>
      </c>
    </row>
    <row r="44" spans="1:21" x14ac:dyDescent="0.3">
      <c r="A44" t="s">
        <v>203</v>
      </c>
      <c r="B44" t="s">
        <v>204</v>
      </c>
      <c r="C44" t="s">
        <v>41</v>
      </c>
      <c r="D44" t="s">
        <v>205</v>
      </c>
      <c r="E44" t="s">
        <v>22</v>
      </c>
      <c r="F44" t="s">
        <v>28</v>
      </c>
      <c r="G44" s="6">
        <v>0</v>
      </c>
      <c r="H44" s="6">
        <v>67000</v>
      </c>
      <c r="I44" t="s">
        <v>206</v>
      </c>
      <c r="J44" t="s">
        <v>206</v>
      </c>
      <c r="K44">
        <v>1</v>
      </c>
      <c r="L44">
        <v>1949</v>
      </c>
      <c r="M44">
        <f t="shared" si="0"/>
        <v>77</v>
      </c>
      <c r="N44" t="str">
        <v>Headquarters
One ADP Boulevard 
Roseland, New Jersey    07068
United States
Main Phone: 973 974 5000</v>
      </c>
      <c r="O44" t="str">
        <f t="shared" si="1"/>
        <v>0</v>
      </c>
      <c r="P44">
        <v>86310.8</v>
      </c>
      <c r="Q44">
        <v>88364</v>
      </c>
      <c r="R44">
        <v>6188.5</v>
      </c>
      <c r="S44" s="4">
        <f t="shared" si="2"/>
        <v>14.278742829441706</v>
      </c>
      <c r="T44">
        <v>21214.3</v>
      </c>
      <c r="U44" s="1">
        <v>0.29170000000000001</v>
      </c>
    </row>
    <row r="45" spans="1:21" x14ac:dyDescent="0.3">
      <c r="A45" t="s">
        <v>207</v>
      </c>
      <c r="B45" t="s">
        <v>208</v>
      </c>
      <c r="C45" t="s">
        <v>20</v>
      </c>
      <c r="D45" t="s">
        <v>209</v>
      </c>
      <c r="E45" t="s">
        <v>22</v>
      </c>
      <c r="F45" t="s">
        <v>67</v>
      </c>
      <c r="G45" s="6">
        <v>0</v>
      </c>
      <c r="H45" s="6">
        <v>104000</v>
      </c>
      <c r="J45" t="s">
        <v>210</v>
      </c>
      <c r="K45">
        <v>0</v>
      </c>
      <c r="L45">
        <v>1979</v>
      </c>
      <c r="M45">
        <f t="shared" si="0"/>
        <v>47</v>
      </c>
      <c r="N45" t="str">
        <v>Headquarters
123 South Front Street 
Memphis, Tennessee    38103
United States
Main Phone: 901 495 6500</v>
      </c>
      <c r="O45" t="str">
        <f t="shared" si="1"/>
        <v>0</v>
      </c>
      <c r="P45">
        <v>62221.8</v>
      </c>
      <c r="Q45">
        <v>74226.3</v>
      </c>
      <c r="R45">
        <v>4181.3999999999996</v>
      </c>
      <c r="S45" s="4">
        <f t="shared" si="2"/>
        <v>17.751542545558905</v>
      </c>
      <c r="T45">
        <v>19287.7</v>
      </c>
      <c r="U45" s="1">
        <v>0.21679999999999999</v>
      </c>
    </row>
    <row r="46" spans="1:21" x14ac:dyDescent="0.3">
      <c r="A46" t="s">
        <v>211</v>
      </c>
      <c r="B46" t="s">
        <v>212</v>
      </c>
      <c r="C46" t="s">
        <v>20</v>
      </c>
      <c r="D46" t="s">
        <v>213</v>
      </c>
      <c r="E46" t="s">
        <v>22</v>
      </c>
      <c r="F46" t="s">
        <v>80</v>
      </c>
      <c r="G46" s="6">
        <v>0</v>
      </c>
      <c r="H46" s="6">
        <v>2958</v>
      </c>
      <c r="J46" t="s">
        <v>214</v>
      </c>
      <c r="K46">
        <v>0</v>
      </c>
      <c r="L46">
        <v>1978</v>
      </c>
      <c r="M46">
        <f t="shared" si="0"/>
        <v>48</v>
      </c>
      <c r="N46" t="str">
        <v>Headquarters
4040 Wilson Boulevard, Suite 1000 
Arlington, Virginia    22203-2120
United States
Main Phone: 703 329 6300
Main Fax: 703 329 9130
Other Phone: 703 317 4524</v>
      </c>
      <c r="O46" t="str">
        <f t="shared" si="1"/>
        <v>0</v>
      </c>
      <c r="P46">
        <v>24797.4</v>
      </c>
      <c r="Q46">
        <v>34330.9</v>
      </c>
      <c r="R46">
        <v>1847</v>
      </c>
      <c r="S46" s="4">
        <f t="shared" si="2"/>
        <v>18.587384948565241</v>
      </c>
      <c r="T46">
        <v>3041.2</v>
      </c>
      <c r="U46" s="1">
        <v>0.60729999999999995</v>
      </c>
    </row>
    <row r="47" spans="1:21" x14ac:dyDescent="0.3">
      <c r="A47" t="s">
        <v>215</v>
      </c>
      <c r="B47" t="s">
        <v>216</v>
      </c>
      <c r="C47" t="s">
        <v>20</v>
      </c>
      <c r="D47" t="s">
        <v>217</v>
      </c>
      <c r="E47" t="s">
        <v>22</v>
      </c>
      <c r="F47" t="s">
        <v>62</v>
      </c>
      <c r="G47" s="6">
        <v>0</v>
      </c>
      <c r="H47" s="6">
        <v>35000</v>
      </c>
      <c r="J47" t="s">
        <v>218</v>
      </c>
      <c r="K47">
        <v>0</v>
      </c>
      <c r="L47">
        <v>1935</v>
      </c>
      <c r="M47">
        <f t="shared" si="0"/>
        <v>91</v>
      </c>
      <c r="N47" t="str">
        <v>Headquarters
8080 Norton Parkway 
Mentor, Ohio    44060
United States
Main Phone: 440 534 6000</v>
      </c>
      <c r="O47" t="str">
        <f t="shared" si="1"/>
        <v>0</v>
      </c>
      <c r="P47">
        <v>15095</v>
      </c>
      <c r="Q47">
        <v>18798.900000000001</v>
      </c>
      <c r="R47">
        <v>1418.9</v>
      </c>
      <c r="S47" s="4">
        <f t="shared" si="2"/>
        <v>13.248925223764889</v>
      </c>
      <c r="T47">
        <v>8855.5</v>
      </c>
      <c r="U47" s="1">
        <v>0.16020000000000001</v>
      </c>
    </row>
    <row r="48" spans="1:21" x14ac:dyDescent="0.3">
      <c r="A48" t="s">
        <v>219</v>
      </c>
      <c r="B48" t="s">
        <v>220</v>
      </c>
      <c r="C48" t="s">
        <v>41</v>
      </c>
      <c r="D48" t="s">
        <v>221</v>
      </c>
      <c r="E48" t="s">
        <v>22</v>
      </c>
      <c r="F48" t="s">
        <v>28</v>
      </c>
      <c r="G48" s="6">
        <v>0</v>
      </c>
      <c r="H48" s="6">
        <v>5100</v>
      </c>
      <c r="J48" t="s">
        <v>222</v>
      </c>
      <c r="K48">
        <v>0</v>
      </c>
      <c r="L48">
        <v>1993</v>
      </c>
      <c r="M48">
        <f t="shared" si="0"/>
        <v>33</v>
      </c>
      <c r="N48" t="str">
        <v>Headquarters
17800 North 85th Street 
Scottsdale, Arizona    85255
United States
Main Phone: 480 991 0797</v>
      </c>
      <c r="O48" t="str">
        <f t="shared" si="1"/>
        <v>0</v>
      </c>
      <c r="P48">
        <v>43506.7</v>
      </c>
      <c r="Q48">
        <v>43689.599999999999</v>
      </c>
      <c r="R48">
        <v>53.5</v>
      </c>
      <c r="S48" s="4">
        <f t="shared" si="2"/>
        <v>816.62803738317757</v>
      </c>
      <c r="T48">
        <v>2779.5</v>
      </c>
      <c r="U48" s="1">
        <v>1.9199999999999998E-2</v>
      </c>
    </row>
    <row r="49" spans="1:21" x14ac:dyDescent="0.3">
      <c r="A49" t="s">
        <v>223</v>
      </c>
      <c r="B49" t="s">
        <v>224</v>
      </c>
      <c r="C49" t="s">
        <v>41</v>
      </c>
      <c r="D49" t="s">
        <v>225</v>
      </c>
      <c r="E49" t="s">
        <v>22</v>
      </c>
      <c r="F49" t="s">
        <v>153</v>
      </c>
      <c r="G49" s="6">
        <v>0</v>
      </c>
      <c r="H49" s="6">
        <v>56000</v>
      </c>
      <c r="J49" t="s">
        <v>226</v>
      </c>
      <c r="K49">
        <v>0</v>
      </c>
      <c r="L49">
        <v>2016</v>
      </c>
      <c r="M49">
        <f t="shared" si="0"/>
        <v>10</v>
      </c>
      <c r="N49" t="str">
        <v>Headquarters
575 North Dairy Ashford Road
Suite 100 
Houston, Texas    77079-1121
United States
Main Phone: 713 439 8600</v>
      </c>
      <c r="O49" t="str">
        <f t="shared" si="1"/>
        <v>0</v>
      </c>
      <c r="P49">
        <v>64492.3</v>
      </c>
      <c r="Q49">
        <v>67655.3</v>
      </c>
      <c r="R49">
        <v>4695</v>
      </c>
      <c r="S49" s="4">
        <f t="shared" si="2"/>
        <v>14.410074547390842</v>
      </c>
      <c r="T49">
        <v>27733</v>
      </c>
      <c r="U49" s="1">
        <v>0.16930000000000001</v>
      </c>
    </row>
    <row r="50" spans="1:21" x14ac:dyDescent="0.3">
      <c r="A50" t="s">
        <v>227</v>
      </c>
      <c r="B50" t="s">
        <v>228</v>
      </c>
      <c r="C50" t="s">
        <v>20</v>
      </c>
      <c r="D50" t="s">
        <v>229</v>
      </c>
      <c r="E50" t="s">
        <v>22</v>
      </c>
      <c r="F50" t="s">
        <v>62</v>
      </c>
      <c r="G50" s="6">
        <v>0</v>
      </c>
      <c r="H50" s="6">
        <v>16000</v>
      </c>
      <c r="J50" t="s">
        <v>230</v>
      </c>
      <c r="K50">
        <v>0</v>
      </c>
      <c r="L50">
        <v>1880</v>
      </c>
      <c r="M50">
        <f t="shared" si="0"/>
        <v>146</v>
      </c>
      <c r="N50" t="str">
        <v>Headquarters
9200 West 108th Circle 
Westminster, Colorado    80021
United States
Main Phone: 303 469 3131</v>
      </c>
      <c r="O50" t="str">
        <f t="shared" si="1"/>
        <v>0</v>
      </c>
      <c r="P50">
        <v>17861.8</v>
      </c>
      <c r="Q50">
        <v>24020.799999999999</v>
      </c>
      <c r="R50">
        <v>2012</v>
      </c>
      <c r="S50" s="4">
        <f t="shared" si="2"/>
        <v>11.938767395626241</v>
      </c>
      <c r="T50">
        <v>13161</v>
      </c>
      <c r="U50" s="1">
        <v>0.15290000000000001</v>
      </c>
    </row>
    <row r="51" spans="1:21" x14ac:dyDescent="0.3">
      <c r="A51" t="s">
        <v>231</v>
      </c>
      <c r="B51" t="s">
        <v>232</v>
      </c>
      <c r="C51" t="s">
        <v>20</v>
      </c>
      <c r="D51" t="s">
        <v>233</v>
      </c>
      <c r="E51" t="s">
        <v>22</v>
      </c>
      <c r="F51" t="s">
        <v>53</v>
      </c>
      <c r="G51" s="6">
        <v>1</v>
      </c>
      <c r="H51" s="6">
        <v>213000</v>
      </c>
      <c r="J51" t="s">
        <v>234</v>
      </c>
      <c r="K51">
        <v>0</v>
      </c>
      <c r="L51">
        <v>1784</v>
      </c>
      <c r="M51">
        <f t="shared" si="0"/>
        <v>242</v>
      </c>
      <c r="N51" t="str">
        <v>Headquarters
Bank of America Corporate Center
100 North Tryon Street 
Charlotte, North Carolina    28255
United States
Main Phone: (704) 386-5681</v>
      </c>
      <c r="O51" t="str">
        <f t="shared" si="1"/>
        <v>0</v>
      </c>
      <c r="P51">
        <v>357614.1</v>
      </c>
      <c r="Q51" t="s">
        <v>91</v>
      </c>
      <c r="R51">
        <v>0</v>
      </c>
      <c r="S51" s="4" t="e">
        <f t="shared" si="2"/>
        <v>#VALUE!</v>
      </c>
      <c r="T51">
        <v>107422</v>
      </c>
      <c r="U51" s="1">
        <v>0</v>
      </c>
    </row>
    <row r="52" spans="1:21" x14ac:dyDescent="0.3">
      <c r="A52" t="s">
        <v>235</v>
      </c>
      <c r="B52" t="s">
        <v>236</v>
      </c>
      <c r="C52" t="s">
        <v>20</v>
      </c>
      <c r="D52" t="s">
        <v>237</v>
      </c>
      <c r="E52" t="s">
        <v>22</v>
      </c>
      <c r="F52" t="s">
        <v>33</v>
      </c>
      <c r="G52" s="6">
        <v>0</v>
      </c>
      <c r="H52" s="6">
        <v>37500</v>
      </c>
      <c r="J52" t="s">
        <v>238</v>
      </c>
      <c r="K52">
        <v>0</v>
      </c>
      <c r="L52">
        <v>1931</v>
      </c>
      <c r="M52">
        <f t="shared" si="0"/>
        <v>95</v>
      </c>
      <c r="N52" t="str">
        <v>Headquarters
One Baxter Parkway 
Deerfield, Illinois    60015
United States
Main Phone: 224 948 2000</v>
      </c>
      <c r="O52" t="str">
        <f t="shared" si="1"/>
        <v>0</v>
      </c>
      <c r="P52">
        <v>10480.200000000001</v>
      </c>
      <c r="Q52">
        <v>18267.2</v>
      </c>
      <c r="R52">
        <v>2018</v>
      </c>
      <c r="S52" s="4">
        <f t="shared" si="2"/>
        <v>9.0521308225966308</v>
      </c>
      <c r="T52">
        <v>11244</v>
      </c>
      <c r="U52" s="1">
        <v>0.17949999999999999</v>
      </c>
    </row>
    <row r="53" spans="1:21" x14ac:dyDescent="0.3">
      <c r="A53" t="s">
        <v>239</v>
      </c>
      <c r="B53" t="s">
        <v>240</v>
      </c>
      <c r="C53" t="s">
        <v>20</v>
      </c>
      <c r="D53" t="s">
        <v>241</v>
      </c>
      <c r="E53" t="s">
        <v>22</v>
      </c>
      <c r="F53" t="s">
        <v>33</v>
      </c>
      <c r="G53" s="6">
        <v>0</v>
      </c>
      <c r="H53" s="6">
        <v>72000</v>
      </c>
      <c r="J53" t="s">
        <v>242</v>
      </c>
      <c r="K53">
        <v>0</v>
      </c>
      <c r="L53">
        <v>1897</v>
      </c>
      <c r="M53">
        <f t="shared" si="0"/>
        <v>129</v>
      </c>
      <c r="N53" t="str">
        <v>Headquarters
1 Becton Drive 
Franklin Lakes, New Jersey    07417-1880
United States
Main Phone: 201 847 6800</v>
      </c>
      <c r="O53" t="str">
        <f t="shared" si="1"/>
        <v>0</v>
      </c>
      <c r="P53">
        <v>50251.199999999997</v>
      </c>
      <c r="Q53">
        <v>69039.199999999997</v>
      </c>
      <c r="R53">
        <v>6042</v>
      </c>
      <c r="S53" s="4">
        <f t="shared" si="2"/>
        <v>11.426547500827541</v>
      </c>
      <c r="T53">
        <v>21924</v>
      </c>
      <c r="U53" s="1">
        <v>0.27560000000000001</v>
      </c>
    </row>
    <row r="54" spans="1:21" x14ac:dyDescent="0.3">
      <c r="A54" t="s">
        <v>243</v>
      </c>
      <c r="B54" t="s">
        <v>244</v>
      </c>
      <c r="C54" t="s">
        <v>20</v>
      </c>
      <c r="D54" t="s">
        <v>245</v>
      </c>
      <c r="E54" t="s">
        <v>91</v>
      </c>
      <c r="F54" t="s">
        <v>53</v>
      </c>
      <c r="G54" s="6">
        <v>1</v>
      </c>
      <c r="H54" s="6">
        <v>392400</v>
      </c>
      <c r="J54" t="s">
        <v>246</v>
      </c>
      <c r="K54">
        <v>0</v>
      </c>
      <c r="L54">
        <v>1998</v>
      </c>
      <c r="M54">
        <f t="shared" si="0"/>
        <v>28</v>
      </c>
      <c r="N54" t="str">
        <v>Headquarters
3555 Farnam Street 
Omaha, Nebraska    68131
United States
Main Phone: 402 346 1400</v>
      </c>
      <c r="O54" t="str">
        <f t="shared" si="1"/>
        <v>0</v>
      </c>
      <c r="P54">
        <v>1089124.1000000001</v>
      </c>
      <c r="Q54">
        <v>836980.1</v>
      </c>
      <c r="R54">
        <v>110594</v>
      </c>
      <c r="S54" s="4">
        <f t="shared" si="2"/>
        <v>7.568042570121345</v>
      </c>
      <c r="T54">
        <v>371444</v>
      </c>
      <c r="U54" s="1">
        <v>0.29770000000000002</v>
      </c>
    </row>
    <row r="55" spans="1:21" x14ac:dyDescent="0.3">
      <c r="A55" t="s">
        <v>247</v>
      </c>
      <c r="B55" t="s">
        <v>248</v>
      </c>
      <c r="C55" t="s">
        <v>20</v>
      </c>
      <c r="D55" t="s">
        <v>249</v>
      </c>
      <c r="E55" t="s">
        <v>22</v>
      </c>
      <c r="F55" t="s">
        <v>67</v>
      </c>
      <c r="G55" s="6">
        <v>0</v>
      </c>
      <c r="H55" s="6">
        <v>85000</v>
      </c>
      <c r="I55" t="s">
        <v>250</v>
      </c>
      <c r="J55" t="s">
        <v>251</v>
      </c>
      <c r="K55">
        <v>1</v>
      </c>
      <c r="L55">
        <v>1966</v>
      </c>
      <c r="M55">
        <f t="shared" si="0"/>
        <v>60</v>
      </c>
      <c r="N55" t="str">
        <v>Headquarters
7601 Penn Avenue South 
Richfield, Minnesota    55423
United States
Main Phone: 612 291 1000</v>
      </c>
      <c r="O55" t="str">
        <f t="shared" si="1"/>
        <v>0</v>
      </c>
      <c r="P55">
        <v>12984.9</v>
      </c>
      <c r="Q55">
        <v>15999.9</v>
      </c>
      <c r="R55">
        <v>2607</v>
      </c>
      <c r="S55" s="4">
        <f t="shared" si="2"/>
        <v>6.1372842347525891</v>
      </c>
      <c r="T55">
        <v>41825</v>
      </c>
      <c r="U55" s="1">
        <v>6.2300000000000001E-2</v>
      </c>
    </row>
    <row r="56" spans="1:21" x14ac:dyDescent="0.3">
      <c r="A56" t="s">
        <v>252</v>
      </c>
      <c r="B56" t="s">
        <v>253</v>
      </c>
      <c r="C56" t="s">
        <v>41</v>
      </c>
      <c r="D56" t="s">
        <v>254</v>
      </c>
      <c r="E56" t="s">
        <v>22</v>
      </c>
      <c r="F56" t="s">
        <v>33</v>
      </c>
      <c r="G56" s="6">
        <v>0</v>
      </c>
      <c r="H56" s="6">
        <v>3100</v>
      </c>
      <c r="J56" t="s">
        <v>255</v>
      </c>
      <c r="K56">
        <v>0</v>
      </c>
      <c r="L56">
        <v>1976</v>
      </c>
      <c r="M56">
        <f t="shared" si="0"/>
        <v>50</v>
      </c>
      <c r="N56" t="str">
        <v>Headquarters
614 McKinley Place N.E. 
Minneapolis, Minnesota    55413
United States
Main Phone: 612 379 8854
Main Fax: 612 656 4400</v>
      </c>
      <c r="O56" t="str">
        <f t="shared" si="1"/>
        <v>0</v>
      </c>
      <c r="P56">
        <v>9230.7000000000007</v>
      </c>
      <c r="Q56">
        <v>9402.1</v>
      </c>
      <c r="R56">
        <v>330.5</v>
      </c>
      <c r="S56" s="4">
        <f t="shared" si="2"/>
        <v>28.448108925869896</v>
      </c>
      <c r="T56">
        <v>1215.5999999999999</v>
      </c>
      <c r="U56" s="1">
        <v>0.27189999999999998</v>
      </c>
    </row>
    <row r="57" spans="1:21" x14ac:dyDescent="0.3">
      <c r="A57" t="s">
        <v>256</v>
      </c>
      <c r="B57" t="s">
        <v>257</v>
      </c>
      <c r="C57" t="s">
        <v>41</v>
      </c>
      <c r="D57" t="s">
        <v>258</v>
      </c>
      <c r="E57" t="s">
        <v>22</v>
      </c>
      <c r="F57" t="s">
        <v>33</v>
      </c>
      <c r="G57" s="6">
        <v>0</v>
      </c>
      <c r="H57" s="6">
        <v>7500</v>
      </c>
      <c r="J57" t="s">
        <v>259</v>
      </c>
      <c r="K57">
        <v>0</v>
      </c>
      <c r="L57">
        <v>1978</v>
      </c>
      <c r="M57">
        <f t="shared" si="0"/>
        <v>48</v>
      </c>
      <c r="N57" t="str">
        <v>Headquarters
225 Binney Street 
Cambridge, Massachusetts    02142
United States
Main Phone: 617 679 2000</v>
      </c>
      <c r="O57" t="str">
        <f t="shared" si="1"/>
        <v>0</v>
      </c>
      <c r="P57">
        <v>28151.200000000001</v>
      </c>
      <c r="Q57">
        <v>30561.200000000001</v>
      </c>
      <c r="R57">
        <v>3603.7</v>
      </c>
      <c r="S57" s="4">
        <f t="shared" si="2"/>
        <v>8.4805061464605824</v>
      </c>
      <c r="T57">
        <v>9890.6</v>
      </c>
      <c r="U57" s="1">
        <v>0.3644</v>
      </c>
    </row>
    <row r="58" spans="1:21" x14ac:dyDescent="0.3">
      <c r="A58" t="s">
        <v>260</v>
      </c>
      <c r="B58" t="s">
        <v>261</v>
      </c>
      <c r="C58" t="s">
        <v>20</v>
      </c>
      <c r="D58" t="s">
        <v>262</v>
      </c>
      <c r="E58" t="s">
        <v>22</v>
      </c>
      <c r="F58" t="s">
        <v>53</v>
      </c>
      <c r="G58" s="6">
        <v>1</v>
      </c>
      <c r="H58" s="6">
        <v>24900</v>
      </c>
      <c r="J58" t="s">
        <v>263</v>
      </c>
      <c r="K58">
        <v>0</v>
      </c>
      <c r="L58">
        <v>1988</v>
      </c>
      <c r="M58">
        <f t="shared" si="0"/>
        <v>38</v>
      </c>
      <c r="N58" t="str">
        <v>Headquarters
50 Hudson Yards 
New York, New York    10001
United States
Main Phone: 212 810 5300
Other Phone: 212 810 5800</v>
      </c>
      <c r="O58" t="str">
        <f t="shared" si="1"/>
        <v>0</v>
      </c>
      <c r="P58">
        <v>165376.4</v>
      </c>
      <c r="Q58">
        <v>171769.4</v>
      </c>
      <c r="R58">
        <v>9686</v>
      </c>
      <c r="S58" s="4">
        <f t="shared" si="2"/>
        <v>17.733780714433202</v>
      </c>
      <c r="T58">
        <v>24216</v>
      </c>
      <c r="U58" s="1">
        <v>0.4</v>
      </c>
    </row>
    <row r="59" spans="1:21" x14ac:dyDescent="0.3">
      <c r="A59" t="s">
        <v>264</v>
      </c>
      <c r="B59" t="s">
        <v>265</v>
      </c>
      <c r="C59" t="s">
        <v>20</v>
      </c>
      <c r="D59" t="s">
        <v>266</v>
      </c>
      <c r="E59" t="s">
        <v>22</v>
      </c>
      <c r="F59" t="s">
        <v>53</v>
      </c>
      <c r="G59" s="6">
        <v>1</v>
      </c>
      <c r="H59" s="6">
        <v>4895</v>
      </c>
      <c r="J59" t="s">
        <v>267</v>
      </c>
      <c r="K59">
        <v>0</v>
      </c>
      <c r="L59">
        <v>1985</v>
      </c>
      <c r="M59">
        <f t="shared" si="0"/>
        <v>41</v>
      </c>
      <c r="N59" t="str">
        <v>Headquarters
345 Park Avenue 
New York, New York    10154
United States
Main Phone: (212) 583-5000
Main Fax: (212) 583-5749
Other Phone: (212) 503-2100</v>
      </c>
      <c r="O59" t="str">
        <f t="shared" si="1"/>
        <v>0</v>
      </c>
      <c r="P59">
        <v>88789.5</v>
      </c>
      <c r="Q59" t="s">
        <v>91</v>
      </c>
      <c r="R59">
        <v>0</v>
      </c>
      <c r="S59" s="4" t="e">
        <f t="shared" si="2"/>
        <v>#VALUE!</v>
      </c>
      <c r="T59">
        <v>14212.8</v>
      </c>
      <c r="U59" s="1">
        <v>0</v>
      </c>
    </row>
    <row r="60" spans="1:21" x14ac:dyDescent="0.3">
      <c r="A60" t="s">
        <v>268</v>
      </c>
      <c r="B60" t="s">
        <v>269</v>
      </c>
      <c r="C60" t="s">
        <v>20</v>
      </c>
      <c r="D60" t="s">
        <v>270</v>
      </c>
      <c r="E60" t="s">
        <v>22</v>
      </c>
      <c r="F60" t="s">
        <v>53</v>
      </c>
      <c r="G60" s="6">
        <v>1</v>
      </c>
      <c r="H60" s="6">
        <v>10205</v>
      </c>
      <c r="J60" t="s">
        <v>271</v>
      </c>
      <c r="K60">
        <v>0</v>
      </c>
      <c r="L60">
        <v>2009</v>
      </c>
      <c r="M60">
        <f t="shared" si="0"/>
        <v>17</v>
      </c>
      <c r="N60" t="str">
        <v>Headquarters
1955 Broadway
Suite 600 
Oakland, California    94612
United States
Main Phone: 415-375-3176</v>
      </c>
      <c r="O60" t="str">
        <f t="shared" si="1"/>
        <v>1</v>
      </c>
      <c r="P60">
        <v>38162.400000000001</v>
      </c>
      <c r="Q60">
        <v>39902.300000000003</v>
      </c>
      <c r="R60">
        <v>2070.5</v>
      </c>
      <c r="S60" s="4">
        <f t="shared" si="2"/>
        <v>19.271818401352331</v>
      </c>
      <c r="T60">
        <v>24193.7</v>
      </c>
      <c r="U60" s="1">
        <v>8.5599999999999996E-2</v>
      </c>
    </row>
    <row r="61" spans="1:21" x14ac:dyDescent="0.3">
      <c r="A61" t="s">
        <v>272</v>
      </c>
      <c r="B61" t="s">
        <v>273</v>
      </c>
      <c r="C61" t="s">
        <v>41</v>
      </c>
      <c r="D61" t="s">
        <v>274</v>
      </c>
      <c r="E61" t="s">
        <v>22</v>
      </c>
      <c r="F61" t="s">
        <v>67</v>
      </c>
      <c r="G61" s="6">
        <v>0</v>
      </c>
      <c r="H61" s="6">
        <v>23936</v>
      </c>
      <c r="J61" t="s">
        <v>275</v>
      </c>
      <c r="K61">
        <v>0</v>
      </c>
      <c r="L61">
        <v>1997</v>
      </c>
      <c r="M61">
        <f t="shared" si="0"/>
        <v>29</v>
      </c>
      <c r="N61" t="str">
        <v>Headquarters
800 Connecticut Avenue 
Norwalk, Connecticut    06854
United States
Main Phone: 203 299 8000</v>
      </c>
      <c r="O61" t="str">
        <f t="shared" si="1"/>
        <v>0</v>
      </c>
      <c r="P61">
        <v>134274.4</v>
      </c>
      <c r="Q61">
        <v>136057.4</v>
      </c>
      <c r="R61">
        <v>10110</v>
      </c>
      <c r="S61" s="4">
        <f t="shared" si="2"/>
        <v>13.457705242334322</v>
      </c>
      <c r="T61">
        <v>26917</v>
      </c>
      <c r="U61" s="1">
        <v>0.37559999999999999</v>
      </c>
    </row>
    <row r="62" spans="1:21" x14ac:dyDescent="0.3">
      <c r="A62" t="s">
        <v>276</v>
      </c>
      <c r="B62" t="s">
        <v>277</v>
      </c>
      <c r="C62" t="s">
        <v>20</v>
      </c>
      <c r="D62" t="s">
        <v>278</v>
      </c>
      <c r="E62" t="s">
        <v>22</v>
      </c>
      <c r="F62" t="s">
        <v>33</v>
      </c>
      <c r="G62" s="6">
        <v>0</v>
      </c>
      <c r="H62" s="6">
        <v>59000</v>
      </c>
      <c r="J62" t="s">
        <v>279</v>
      </c>
      <c r="K62">
        <v>0</v>
      </c>
      <c r="L62">
        <v>1979</v>
      </c>
      <c r="M62">
        <f t="shared" si="0"/>
        <v>47</v>
      </c>
      <c r="N62" t="str">
        <v>Headquarters
300 Boston Scientific Way 
Marlborough, Massachusetts    01752-1234
United States
Main Phone: 508 683 4000</v>
      </c>
      <c r="O62" t="str">
        <f t="shared" si="1"/>
        <v>0</v>
      </c>
      <c r="P62">
        <v>114036.6</v>
      </c>
      <c r="Q62">
        <v>124282.6</v>
      </c>
      <c r="R62">
        <v>5339</v>
      </c>
      <c r="S62" s="4">
        <f t="shared" si="2"/>
        <v>23.278254354748082</v>
      </c>
      <c r="T62">
        <v>20074</v>
      </c>
      <c r="U62" s="1">
        <v>0.26600000000000001</v>
      </c>
    </row>
    <row r="63" spans="1:21" x14ac:dyDescent="0.3">
      <c r="A63" t="s">
        <v>280</v>
      </c>
      <c r="B63" t="s">
        <v>281</v>
      </c>
      <c r="C63" t="s">
        <v>20</v>
      </c>
      <c r="D63" t="s">
        <v>282</v>
      </c>
      <c r="E63" t="s">
        <v>22</v>
      </c>
      <c r="F63" t="s">
        <v>33</v>
      </c>
      <c r="G63" s="6">
        <v>0</v>
      </c>
      <c r="H63" s="6">
        <v>32500</v>
      </c>
      <c r="J63" t="s">
        <v>283</v>
      </c>
      <c r="K63">
        <v>0</v>
      </c>
      <c r="L63">
        <v>1887</v>
      </c>
      <c r="M63">
        <f t="shared" si="0"/>
        <v>139</v>
      </c>
      <c r="N63" t="str">
        <v>Headquarters
Route 206 &amp; Province Line Road 
Princeton, New Jersey    08543
United States
Main Phone: 609 252 4621</v>
      </c>
      <c r="O63" t="str">
        <f t="shared" si="1"/>
        <v>0</v>
      </c>
      <c r="P63">
        <v>127014.9</v>
      </c>
      <c r="Q63">
        <v>163165.9</v>
      </c>
      <c r="R63">
        <v>19116</v>
      </c>
      <c r="S63" s="4">
        <f t="shared" si="2"/>
        <v>8.5355670642393804</v>
      </c>
      <c r="T63">
        <v>48194</v>
      </c>
      <c r="U63" s="1">
        <v>0.39660000000000001</v>
      </c>
    </row>
    <row r="64" spans="1:21" x14ac:dyDescent="0.3">
      <c r="A64" t="s">
        <v>284</v>
      </c>
      <c r="B64" t="s">
        <v>285</v>
      </c>
      <c r="C64" t="s">
        <v>41</v>
      </c>
      <c r="D64" t="s">
        <v>286</v>
      </c>
      <c r="E64" t="s">
        <v>22</v>
      </c>
      <c r="F64" t="s">
        <v>43</v>
      </c>
      <c r="G64" s="6">
        <v>0</v>
      </c>
      <c r="H64" s="6">
        <v>33000</v>
      </c>
      <c r="J64" t="s">
        <v>287</v>
      </c>
      <c r="K64">
        <v>0</v>
      </c>
      <c r="L64">
        <v>1961</v>
      </c>
      <c r="M64">
        <f t="shared" si="0"/>
        <v>65</v>
      </c>
      <c r="N64" t="str">
        <v>Headquarters
3421 Hillview Ave 
Palo Alto, California    94304
United States
Main Phone: 650 427 6000</v>
      </c>
      <c r="O64" t="str">
        <f t="shared" si="1"/>
        <v>1</v>
      </c>
      <c r="P64">
        <v>1515074</v>
      </c>
      <c r="Q64">
        <v>1565357</v>
      </c>
      <c r="R64">
        <v>35003</v>
      </c>
      <c r="S64" s="4">
        <f t="shared" si="2"/>
        <v>44.720652515498671</v>
      </c>
      <c r="T64">
        <v>63887</v>
      </c>
      <c r="U64" s="1">
        <v>0.54790000000000005</v>
      </c>
    </row>
    <row r="65" spans="1:21" x14ac:dyDescent="0.3">
      <c r="A65" t="s">
        <v>288</v>
      </c>
      <c r="B65" t="s">
        <v>289</v>
      </c>
      <c r="C65" t="s">
        <v>20</v>
      </c>
      <c r="D65" t="s">
        <v>290</v>
      </c>
      <c r="E65" t="s">
        <v>22</v>
      </c>
      <c r="F65" t="s">
        <v>28</v>
      </c>
      <c r="G65" s="6">
        <v>0</v>
      </c>
      <c r="H65" s="6">
        <v>15000</v>
      </c>
      <c r="J65" t="s">
        <v>291</v>
      </c>
      <c r="K65">
        <v>0</v>
      </c>
      <c r="L65">
        <v>1962</v>
      </c>
      <c r="M65">
        <f t="shared" si="0"/>
        <v>64</v>
      </c>
      <c r="N65" t="str">
        <v>Headquarters
5 Dakota Drive
Suite 300 
Lake Success, New York    11042
United States
Main Phone: 516 472 5400</v>
      </c>
      <c r="O65" t="str">
        <f t="shared" si="1"/>
        <v>0</v>
      </c>
      <c r="P65">
        <v>21700.1</v>
      </c>
      <c r="Q65">
        <v>24702.3</v>
      </c>
      <c r="R65">
        <v>1740.6</v>
      </c>
      <c r="S65" s="4">
        <f t="shared" si="2"/>
        <v>14.191830403309204</v>
      </c>
      <c r="T65">
        <v>7180.3</v>
      </c>
      <c r="U65" s="1">
        <v>0.2424</v>
      </c>
    </row>
    <row r="66" spans="1:21" x14ac:dyDescent="0.3">
      <c r="A66" t="s">
        <v>292</v>
      </c>
      <c r="B66" t="s">
        <v>293</v>
      </c>
      <c r="C66" t="s">
        <v>20</v>
      </c>
      <c r="D66" t="s">
        <v>294</v>
      </c>
      <c r="E66" t="s">
        <v>22</v>
      </c>
      <c r="F66" t="s">
        <v>53</v>
      </c>
      <c r="G66" s="6">
        <v>1</v>
      </c>
      <c r="H66" s="6">
        <v>22888</v>
      </c>
      <c r="J66" t="s">
        <v>295</v>
      </c>
      <c r="K66">
        <v>0</v>
      </c>
      <c r="L66">
        <v>1939</v>
      </c>
      <c r="M66">
        <f t="shared" si="0"/>
        <v>87</v>
      </c>
      <c r="N66" t="str">
        <v>Headquarters
300 North Beach Street 
Daytona Beach, Florida    32114
United States
Main Phone: 386 252 9601</v>
      </c>
      <c r="O66" t="str">
        <f t="shared" si="1"/>
        <v>0</v>
      </c>
      <c r="P66">
        <v>24449</v>
      </c>
      <c r="Q66">
        <v>31314</v>
      </c>
      <c r="R66">
        <v>1982</v>
      </c>
      <c r="S66" s="4">
        <f t="shared" si="2"/>
        <v>15.799192734611504</v>
      </c>
      <c r="T66">
        <v>5763</v>
      </c>
      <c r="U66" s="1">
        <v>0.34389999999999998</v>
      </c>
    </row>
    <row r="67" spans="1:21" x14ac:dyDescent="0.3">
      <c r="A67" t="s">
        <v>296</v>
      </c>
      <c r="B67" t="s">
        <v>297</v>
      </c>
      <c r="C67" t="s">
        <v>20</v>
      </c>
      <c r="D67" t="s">
        <v>298</v>
      </c>
      <c r="E67" t="s">
        <v>22</v>
      </c>
      <c r="F67" t="s">
        <v>100</v>
      </c>
      <c r="G67" s="6">
        <v>0</v>
      </c>
      <c r="H67" s="6">
        <v>5000</v>
      </c>
      <c r="J67" t="s">
        <v>299</v>
      </c>
      <c r="K67">
        <v>0</v>
      </c>
      <c r="L67">
        <v>1870</v>
      </c>
      <c r="M67">
        <f t="shared" ref="M67:M130" si="3">2026-L67</f>
        <v>156</v>
      </c>
      <c r="N67" t="str">
        <v>Headquarters
850 Dixie Highway 
Louisville, Kentucky    40210
United States
Main Phone: 502 585 1100</v>
      </c>
      <c r="O67" t="str">
        <f t="shared" ref="O67:O130" si="4">IF(ISNUMBER(SEARCH("california",N67)),"1","0")</f>
        <v>0</v>
      </c>
      <c r="P67">
        <v>13368.2</v>
      </c>
      <c r="Q67">
        <v>15696.2</v>
      </c>
      <c r="R67">
        <v>1174</v>
      </c>
      <c r="S67" s="4">
        <f t="shared" ref="S67:S130" si="5">Q67/R67</f>
        <v>13.369846678023851</v>
      </c>
      <c r="T67">
        <v>3889</v>
      </c>
      <c r="U67" s="1">
        <v>0.3019</v>
      </c>
    </row>
    <row r="68" spans="1:21" x14ac:dyDescent="0.3">
      <c r="A68" t="s">
        <v>300</v>
      </c>
      <c r="B68" t="s">
        <v>301</v>
      </c>
      <c r="C68" t="s">
        <v>20</v>
      </c>
      <c r="D68" t="s">
        <v>302</v>
      </c>
      <c r="E68" t="s">
        <v>22</v>
      </c>
      <c r="F68" t="s">
        <v>28</v>
      </c>
      <c r="G68" s="6">
        <v>0</v>
      </c>
      <c r="H68" s="6">
        <v>28000</v>
      </c>
      <c r="J68" t="s">
        <v>303</v>
      </c>
      <c r="K68">
        <v>0</v>
      </c>
      <c r="L68">
        <v>1998</v>
      </c>
      <c r="M68">
        <f t="shared" si="3"/>
        <v>28</v>
      </c>
      <c r="N68" t="str">
        <v>Headquarters
6031 Connection Drive
Suite 400 
Irving, Texas    75039
United States
Main Phone: 214 880 3500</v>
      </c>
      <c r="O68" t="str">
        <f t="shared" si="4"/>
        <v>0</v>
      </c>
      <c r="P68">
        <v>11535</v>
      </c>
      <c r="Q68">
        <v>16453.5</v>
      </c>
      <c r="R68">
        <v>1377.7</v>
      </c>
      <c r="S68" s="4">
        <f t="shared" si="5"/>
        <v>11.942730638019889</v>
      </c>
      <c r="T68">
        <v>15190.6</v>
      </c>
      <c r="U68" s="1">
        <v>9.0700000000000003E-2</v>
      </c>
    </row>
    <row r="69" spans="1:21" x14ac:dyDescent="0.3">
      <c r="A69" t="s">
        <v>304</v>
      </c>
      <c r="B69" t="s">
        <v>305</v>
      </c>
      <c r="C69" t="s">
        <v>20</v>
      </c>
      <c r="D69" t="s">
        <v>306</v>
      </c>
      <c r="E69" t="s">
        <v>22</v>
      </c>
      <c r="F69" t="s">
        <v>100</v>
      </c>
      <c r="G69" s="6">
        <v>0</v>
      </c>
      <c r="H69" s="6">
        <v>34000</v>
      </c>
      <c r="J69" t="s">
        <v>307</v>
      </c>
      <c r="K69">
        <v>0</v>
      </c>
      <c r="L69">
        <v>1818</v>
      </c>
      <c r="M69">
        <f t="shared" si="3"/>
        <v>208</v>
      </c>
      <c r="N69" t="str">
        <v>Headquarters
1391 Timberlake Manor Parkway 
Chesterfield, Missouri    63017
United States
Main Phone: (314) 292-2000</v>
      </c>
      <c r="O69" t="str">
        <f t="shared" si="4"/>
        <v>0</v>
      </c>
      <c r="P69">
        <v>23346.9</v>
      </c>
      <c r="Q69">
        <v>38723.9</v>
      </c>
      <c r="R69">
        <v>2095</v>
      </c>
      <c r="S69" s="4">
        <f t="shared" si="5"/>
        <v>18.483961813842484</v>
      </c>
      <c r="T69">
        <v>70329</v>
      </c>
      <c r="U69" s="1">
        <v>2.98E-2</v>
      </c>
    </row>
    <row r="70" spans="1:21" x14ac:dyDescent="0.3">
      <c r="A70" t="s">
        <v>308</v>
      </c>
      <c r="B70" t="s">
        <v>309</v>
      </c>
      <c r="C70" t="s">
        <v>20</v>
      </c>
      <c r="D70" t="s">
        <v>310</v>
      </c>
      <c r="E70" t="s">
        <v>22</v>
      </c>
      <c r="F70" t="s">
        <v>80</v>
      </c>
      <c r="G70" s="6">
        <v>0</v>
      </c>
      <c r="H70" s="6">
        <v>816</v>
      </c>
      <c r="J70" t="s">
        <v>311</v>
      </c>
      <c r="K70">
        <v>0</v>
      </c>
      <c r="L70">
        <v>1970</v>
      </c>
      <c r="M70">
        <f t="shared" si="3"/>
        <v>56</v>
      </c>
      <c r="N70" t="str">
        <v>Headquarters
Prudential Center, 800 Boylston Street
Suite 1900 
Boston, Massachusetts    02199-8103
United States
Main Phone: 617 236 3300
Main Fax: 617 236 3311
Other Phone: 617 236 3429</v>
      </c>
      <c r="O70" t="str">
        <f t="shared" si="4"/>
        <v>0</v>
      </c>
      <c r="P70">
        <v>9133.9</v>
      </c>
      <c r="Q70">
        <v>27560.2</v>
      </c>
      <c r="R70">
        <v>1611</v>
      </c>
      <c r="S70" s="4">
        <f t="shared" si="5"/>
        <v>17.107510862818128</v>
      </c>
      <c r="T70">
        <v>3153.1</v>
      </c>
      <c r="U70" s="1">
        <v>0.51090000000000002</v>
      </c>
    </row>
    <row r="71" spans="1:21" x14ac:dyDescent="0.3">
      <c r="A71" t="s">
        <v>312</v>
      </c>
      <c r="B71" t="s">
        <v>313</v>
      </c>
      <c r="C71" t="s">
        <v>41</v>
      </c>
      <c r="D71" t="s">
        <v>314</v>
      </c>
      <c r="E71" t="s">
        <v>22</v>
      </c>
      <c r="F71" t="s">
        <v>28</v>
      </c>
      <c r="G71" s="6">
        <v>0</v>
      </c>
      <c r="H71" s="6">
        <v>11796</v>
      </c>
      <c r="J71" t="s">
        <v>315</v>
      </c>
      <c r="K71">
        <v>0</v>
      </c>
      <c r="L71">
        <v>1905</v>
      </c>
      <c r="M71">
        <f t="shared" si="3"/>
        <v>121</v>
      </c>
      <c r="N71" t="str">
        <v>Headquarters
14701 Charlson Road 
Eden Prairie, Minnesota    55347
United States
Main Phone: 952 937 8500</v>
      </c>
      <c r="O71" t="str">
        <f t="shared" si="4"/>
        <v>0</v>
      </c>
      <c r="P71">
        <v>21974.5</v>
      </c>
      <c r="Q71">
        <v>23209</v>
      </c>
      <c r="R71">
        <v>875</v>
      </c>
      <c r="S71" s="4">
        <f t="shared" si="5"/>
        <v>26.524571428571427</v>
      </c>
      <c r="T71">
        <v>16232.8</v>
      </c>
      <c r="U71" s="1">
        <v>5.3900000000000003E-2</v>
      </c>
    </row>
    <row r="72" spans="1:21" x14ac:dyDescent="0.3">
      <c r="A72" t="s">
        <v>316</v>
      </c>
      <c r="B72" t="s">
        <v>317</v>
      </c>
      <c r="C72" t="s">
        <v>41</v>
      </c>
      <c r="D72" t="s">
        <v>318</v>
      </c>
      <c r="E72" t="s">
        <v>22</v>
      </c>
      <c r="F72" t="s">
        <v>43</v>
      </c>
      <c r="G72" s="6">
        <v>0</v>
      </c>
      <c r="H72" s="6">
        <v>13800</v>
      </c>
      <c r="J72" t="s">
        <v>319</v>
      </c>
      <c r="K72">
        <v>0</v>
      </c>
      <c r="L72">
        <v>1987</v>
      </c>
      <c r="M72">
        <f t="shared" si="3"/>
        <v>39</v>
      </c>
      <c r="N72" t="str">
        <v>Headquarters
Building 5
2655 Seely Avenue 
San Jose, California    95134
United States
Main Phone: 408 943 1234
Main Fax: 408 428 5001</v>
      </c>
      <c r="O72" t="str">
        <f t="shared" si="4"/>
        <v>1</v>
      </c>
      <c r="P72">
        <v>83214.3</v>
      </c>
      <c r="Q72">
        <v>82725.100000000006</v>
      </c>
      <c r="R72">
        <v>1908.1</v>
      </c>
      <c r="S72" s="4">
        <f t="shared" si="5"/>
        <v>43.354698391069654</v>
      </c>
      <c r="T72">
        <v>5296.8</v>
      </c>
      <c r="U72" s="1">
        <v>0.36020000000000002</v>
      </c>
    </row>
    <row r="73" spans="1:21" x14ac:dyDescent="0.3">
      <c r="A73" t="s">
        <v>320</v>
      </c>
      <c r="B73" t="s">
        <v>321</v>
      </c>
      <c r="C73" t="s">
        <v>20</v>
      </c>
      <c r="D73" t="s">
        <v>322</v>
      </c>
      <c r="E73" t="s">
        <v>22</v>
      </c>
      <c r="F73" t="s">
        <v>80</v>
      </c>
      <c r="G73" s="6">
        <v>0</v>
      </c>
      <c r="H73" s="6">
        <v>1640</v>
      </c>
      <c r="J73" t="s">
        <v>323</v>
      </c>
      <c r="K73">
        <v>0</v>
      </c>
      <c r="L73">
        <v>1993</v>
      </c>
      <c r="M73">
        <f t="shared" si="3"/>
        <v>33</v>
      </c>
      <c r="N73" t="str">
        <v>Headquarters
2800 Post Oak Boulevard
Suite 2700 
Houston, Texas    77056
United States
Main Phone: 713 354 2500
Main Fax: 713 354 2700
Other Phone: 713 354 2787</v>
      </c>
      <c r="O73" t="str">
        <f t="shared" si="4"/>
        <v>0</v>
      </c>
      <c r="P73">
        <v>11404.7</v>
      </c>
      <c r="Q73">
        <v>15378.7</v>
      </c>
      <c r="R73">
        <v>899.9</v>
      </c>
      <c r="S73" s="4">
        <f t="shared" si="5"/>
        <v>17.089343260362263</v>
      </c>
      <c r="T73">
        <v>1586.8</v>
      </c>
      <c r="U73" s="1">
        <v>0.56710000000000005</v>
      </c>
    </row>
    <row r="74" spans="1:21" x14ac:dyDescent="0.3">
      <c r="A74" t="s">
        <v>324</v>
      </c>
      <c r="B74" t="s">
        <v>325</v>
      </c>
      <c r="C74" t="s">
        <v>20</v>
      </c>
      <c r="D74" t="s">
        <v>326</v>
      </c>
      <c r="E74" t="s">
        <v>22</v>
      </c>
      <c r="F74" t="s">
        <v>53</v>
      </c>
      <c r="G74" s="6">
        <v>1</v>
      </c>
      <c r="H74" s="6">
        <v>76300</v>
      </c>
      <c r="J74" t="s">
        <v>327</v>
      </c>
      <c r="K74">
        <v>0</v>
      </c>
      <c r="L74">
        <v>1988</v>
      </c>
      <c r="M74">
        <f t="shared" si="3"/>
        <v>38</v>
      </c>
      <c r="N74" t="str">
        <v>Headquarters
1680 Capital One Drive 
McLean, Virginia    22102
United States
Main Phone: 703 720 1000</v>
      </c>
      <c r="O74" t="str">
        <f t="shared" si="4"/>
        <v>0</v>
      </c>
      <c r="P74">
        <v>121674.7</v>
      </c>
      <c r="Q74" t="s">
        <v>91</v>
      </c>
      <c r="R74">
        <v>0</v>
      </c>
      <c r="S74" s="4" t="e">
        <f t="shared" si="5"/>
        <v>#VALUE!</v>
      </c>
      <c r="T74">
        <v>32779</v>
      </c>
      <c r="U74" s="1">
        <v>0</v>
      </c>
    </row>
    <row r="75" spans="1:21" x14ac:dyDescent="0.3">
      <c r="A75" t="s">
        <v>328</v>
      </c>
      <c r="B75" t="s">
        <v>329</v>
      </c>
      <c r="C75" t="s">
        <v>20</v>
      </c>
      <c r="D75" t="s">
        <v>330</v>
      </c>
      <c r="E75" t="s">
        <v>22</v>
      </c>
      <c r="F75" t="s">
        <v>33</v>
      </c>
      <c r="G75" s="6">
        <v>0</v>
      </c>
      <c r="H75" s="6">
        <v>55392</v>
      </c>
      <c r="J75" t="s">
        <v>331</v>
      </c>
      <c r="K75">
        <v>0</v>
      </c>
      <c r="L75">
        <v>1979</v>
      </c>
      <c r="M75">
        <f t="shared" si="3"/>
        <v>47</v>
      </c>
      <c r="N75" t="str">
        <v>Headquarters
7000 Cardinal Place 
Dublin, Ohio    43017
United States
Main Phone: 614 757 5000</v>
      </c>
      <c r="O75" t="str">
        <f t="shared" si="4"/>
        <v>0</v>
      </c>
      <c r="P75">
        <v>53941.5</v>
      </c>
      <c r="Q75">
        <v>60375.5</v>
      </c>
      <c r="R75">
        <v>3823</v>
      </c>
      <c r="S75" s="4">
        <f t="shared" si="5"/>
        <v>15.792702066439968</v>
      </c>
      <c r="T75">
        <v>244673</v>
      </c>
      <c r="U75" s="1">
        <v>1.5599999999999999E-2</v>
      </c>
    </row>
    <row r="76" spans="1:21" x14ac:dyDescent="0.3">
      <c r="A76" t="s">
        <v>332</v>
      </c>
      <c r="B76" t="s">
        <v>333</v>
      </c>
      <c r="C76" t="s">
        <v>20</v>
      </c>
      <c r="D76" t="s">
        <v>334</v>
      </c>
      <c r="E76" t="s">
        <v>22</v>
      </c>
      <c r="F76" t="s">
        <v>67</v>
      </c>
      <c r="G76" s="6">
        <v>0</v>
      </c>
      <c r="H76" s="6">
        <v>160000</v>
      </c>
      <c r="J76" t="s">
        <v>335</v>
      </c>
      <c r="K76">
        <v>0</v>
      </c>
      <c r="L76">
        <v>1972</v>
      </c>
      <c r="M76">
        <f t="shared" si="3"/>
        <v>54</v>
      </c>
      <c r="N76" t="str">
        <v>Headquarters
3655 N.W. 87th Avenue 
Miami, Florida    33178-2428
United States
Main Phone: 305 599 2600</v>
      </c>
      <c r="O76" t="str">
        <f t="shared" si="4"/>
        <v>0</v>
      </c>
      <c r="P76">
        <v>43712.5</v>
      </c>
      <c r="Q76">
        <v>69777.5</v>
      </c>
      <c r="R76">
        <v>7149</v>
      </c>
      <c r="S76" s="4">
        <f t="shared" si="5"/>
        <v>9.7604560078332643</v>
      </c>
      <c r="T76">
        <v>26622</v>
      </c>
      <c r="U76" s="1">
        <v>0.26850000000000002</v>
      </c>
    </row>
    <row r="77" spans="1:21" x14ac:dyDescent="0.3">
      <c r="A77" t="s">
        <v>336</v>
      </c>
      <c r="B77" t="s">
        <v>337</v>
      </c>
      <c r="C77" t="s">
        <v>20</v>
      </c>
      <c r="D77" t="s">
        <v>338</v>
      </c>
      <c r="E77" t="s">
        <v>22</v>
      </c>
      <c r="F77" t="s">
        <v>28</v>
      </c>
      <c r="G77" s="6">
        <v>0</v>
      </c>
      <c r="H77" s="6">
        <v>47000</v>
      </c>
      <c r="J77" t="s">
        <v>339</v>
      </c>
      <c r="K77">
        <v>0</v>
      </c>
      <c r="L77">
        <v>2019</v>
      </c>
      <c r="M77">
        <f t="shared" si="3"/>
        <v>7</v>
      </c>
      <c r="N77" t="str">
        <v>Headquarters
13995 Pasteur Boulevard 
Palm Beach Gardens, Florida    33418
United States
Main Phone: 561 365 2000</v>
      </c>
      <c r="O77" t="str">
        <f t="shared" si="4"/>
        <v>0</v>
      </c>
      <c r="P77">
        <v>53828.3</v>
      </c>
      <c r="Q77">
        <v>64990.3</v>
      </c>
      <c r="R77">
        <v>3378</v>
      </c>
      <c r="S77" s="4">
        <f t="shared" si="5"/>
        <v>19.239283599763173</v>
      </c>
      <c r="T77">
        <v>21747</v>
      </c>
      <c r="U77" s="1">
        <v>0.15529999999999999</v>
      </c>
    </row>
    <row r="78" spans="1:21" x14ac:dyDescent="0.3">
      <c r="A78" t="s">
        <v>340</v>
      </c>
      <c r="B78" t="s">
        <v>341</v>
      </c>
      <c r="C78" t="s">
        <v>20</v>
      </c>
      <c r="D78" t="s">
        <v>342</v>
      </c>
      <c r="E78" t="s">
        <v>22</v>
      </c>
      <c r="F78" t="s">
        <v>67</v>
      </c>
      <c r="G78" s="6">
        <v>0</v>
      </c>
      <c r="H78" s="6">
        <v>23100</v>
      </c>
      <c r="J78" t="s">
        <v>343</v>
      </c>
      <c r="K78">
        <v>0</v>
      </c>
      <c r="L78">
        <v>2012</v>
      </c>
      <c r="M78">
        <f t="shared" si="3"/>
        <v>14</v>
      </c>
      <c r="N78" t="str">
        <v>Headquarters
300 East Rio Salado Parkway 
Tempe, Arizona    85281
United States
Main Phone: 602 922 9866</v>
      </c>
      <c r="O78" t="str">
        <f t="shared" si="4"/>
        <v>0</v>
      </c>
      <c r="P78">
        <v>47696.7</v>
      </c>
      <c r="Q78">
        <v>51240.7</v>
      </c>
      <c r="R78">
        <v>2159</v>
      </c>
      <c r="S78" s="4">
        <f t="shared" si="5"/>
        <v>23.733534043538675</v>
      </c>
      <c r="T78">
        <v>20322</v>
      </c>
      <c r="U78" s="1">
        <v>0.1062</v>
      </c>
    </row>
    <row r="79" spans="1:21" x14ac:dyDescent="0.3">
      <c r="A79" t="s">
        <v>344</v>
      </c>
      <c r="B79" t="s">
        <v>345</v>
      </c>
      <c r="C79" t="s">
        <v>20</v>
      </c>
      <c r="D79" t="s">
        <v>346</v>
      </c>
      <c r="E79" t="s">
        <v>22</v>
      </c>
      <c r="F79" t="s">
        <v>28</v>
      </c>
      <c r="G79" s="6">
        <v>0</v>
      </c>
      <c r="H79" s="6">
        <v>118000</v>
      </c>
      <c r="J79" t="s">
        <v>347</v>
      </c>
      <c r="K79">
        <v>0</v>
      </c>
      <c r="L79">
        <v>1925</v>
      </c>
      <c r="M79">
        <f t="shared" si="3"/>
        <v>101</v>
      </c>
      <c r="N79" t="str">
        <v>Headquarters
5205 N. O'Connor Boulevard
Suite 100 
Irving, Texas    75039
United States
Main Phone: 972 891 7700
Main Fax: 309 494 4818</v>
      </c>
      <c r="O79" t="str">
        <f t="shared" si="4"/>
        <v>0</v>
      </c>
      <c r="P79">
        <v>345629.4</v>
      </c>
      <c r="Q79">
        <v>380354.4</v>
      </c>
      <c r="R79">
        <v>13961</v>
      </c>
      <c r="S79" s="4">
        <f t="shared" si="5"/>
        <v>27.244065611345892</v>
      </c>
      <c r="T79">
        <v>67589</v>
      </c>
      <c r="U79" s="1">
        <v>0.20660000000000001</v>
      </c>
    </row>
    <row r="80" spans="1:21" x14ac:dyDescent="0.3">
      <c r="A80" t="s">
        <v>348</v>
      </c>
      <c r="B80" t="s">
        <v>349</v>
      </c>
      <c r="C80" t="s">
        <v>350</v>
      </c>
      <c r="D80" t="s">
        <v>351</v>
      </c>
      <c r="E80" t="s">
        <v>22</v>
      </c>
      <c r="F80" t="s">
        <v>53</v>
      </c>
      <c r="G80" s="6">
        <v>1</v>
      </c>
      <c r="H80" s="6">
        <v>1661</v>
      </c>
      <c r="J80" t="s">
        <v>352</v>
      </c>
      <c r="K80">
        <v>0</v>
      </c>
      <c r="L80">
        <v>1973</v>
      </c>
      <c r="M80">
        <f t="shared" si="3"/>
        <v>53</v>
      </c>
      <c r="N80" t="str">
        <v>Headquarters
433 West Van Buren Street 
Chicago, Illinois    60607
United States
Main Phone: 312 786 5600
Main Fax: 312 786 7367</v>
      </c>
      <c r="O80" t="str">
        <f t="shared" si="4"/>
        <v>0</v>
      </c>
      <c r="P80">
        <v>31371</v>
      </c>
      <c r="Q80">
        <v>30744.9</v>
      </c>
      <c r="R80">
        <v>1633.3</v>
      </c>
      <c r="S80" s="4">
        <f t="shared" si="5"/>
        <v>18.823792322292292</v>
      </c>
      <c r="T80">
        <v>4714.2</v>
      </c>
      <c r="U80" s="1">
        <v>0.34649999999999997</v>
      </c>
    </row>
    <row r="81" spans="1:21" x14ac:dyDescent="0.3">
      <c r="A81" t="s">
        <v>353</v>
      </c>
      <c r="B81" t="s">
        <v>354</v>
      </c>
      <c r="C81" t="s">
        <v>20</v>
      </c>
      <c r="D81" t="s">
        <v>355</v>
      </c>
      <c r="E81" t="s">
        <v>22</v>
      </c>
      <c r="F81" t="s">
        <v>80</v>
      </c>
      <c r="G81" s="6">
        <v>0</v>
      </c>
      <c r="H81" s="6">
        <v>155000</v>
      </c>
      <c r="J81" t="s">
        <v>356</v>
      </c>
      <c r="K81">
        <v>0</v>
      </c>
      <c r="L81">
        <v>1906</v>
      </c>
      <c r="M81">
        <f t="shared" si="3"/>
        <v>120</v>
      </c>
      <c r="N81" t="str">
        <v>Headquarters
2121 North Pearl Street
Suite 300 
Dallas, Texas    75201
United States
Main Phone: 214 979 6100</v>
      </c>
      <c r="O81" t="str">
        <f t="shared" si="4"/>
        <v>0</v>
      </c>
      <c r="P81">
        <v>42904.5</v>
      </c>
      <c r="Q81">
        <v>52015.5</v>
      </c>
      <c r="R81">
        <v>2222</v>
      </c>
      <c r="S81" s="4">
        <f t="shared" si="5"/>
        <v>23.409315931593159</v>
      </c>
      <c r="T81">
        <v>40550</v>
      </c>
      <c r="U81" s="1">
        <v>5.4800000000000001E-2</v>
      </c>
    </row>
    <row r="82" spans="1:21" x14ac:dyDescent="0.3">
      <c r="A82" t="s">
        <v>357</v>
      </c>
      <c r="B82" t="s">
        <v>358</v>
      </c>
      <c r="C82" t="s">
        <v>41</v>
      </c>
      <c r="D82" t="s">
        <v>359</v>
      </c>
      <c r="E82" t="s">
        <v>22</v>
      </c>
      <c r="F82" t="s">
        <v>43</v>
      </c>
      <c r="G82" s="6">
        <v>0</v>
      </c>
      <c r="H82" s="6">
        <v>14800</v>
      </c>
      <c r="I82" t="s">
        <v>360</v>
      </c>
      <c r="J82" t="s">
        <v>361</v>
      </c>
      <c r="K82">
        <v>1</v>
      </c>
      <c r="L82">
        <v>1984</v>
      </c>
      <c r="M82">
        <f t="shared" si="3"/>
        <v>42</v>
      </c>
      <c r="N82" t="str">
        <v>Headquarters
200 N. Milwaukee Avenue 
Vernon Hills, Illinois    60061
United States
Main Phone: 847 465 6000</v>
      </c>
      <c r="O82" t="str">
        <f t="shared" si="4"/>
        <v>0</v>
      </c>
      <c r="P82">
        <v>15819.8</v>
      </c>
      <c r="Q82">
        <v>21374.2</v>
      </c>
      <c r="R82">
        <v>1967.4</v>
      </c>
      <c r="S82" s="4">
        <f t="shared" si="5"/>
        <v>10.864186235640947</v>
      </c>
      <c r="T82">
        <v>22424.1</v>
      </c>
      <c r="U82" s="1">
        <v>8.77E-2</v>
      </c>
    </row>
    <row r="83" spans="1:21" x14ac:dyDescent="0.3">
      <c r="A83" t="s">
        <v>362</v>
      </c>
      <c r="B83" t="s">
        <v>363</v>
      </c>
      <c r="C83" t="s">
        <v>20</v>
      </c>
      <c r="D83" t="s">
        <v>364</v>
      </c>
      <c r="E83" t="s">
        <v>22</v>
      </c>
      <c r="F83" t="s">
        <v>33</v>
      </c>
      <c r="G83" s="6">
        <v>0</v>
      </c>
      <c r="H83" s="6">
        <v>49000</v>
      </c>
      <c r="J83" t="s">
        <v>365</v>
      </c>
      <c r="K83">
        <v>0</v>
      </c>
      <c r="L83">
        <v>1871</v>
      </c>
      <c r="M83">
        <f t="shared" si="3"/>
        <v>155</v>
      </c>
      <c r="N83" t="str">
        <v>Headquarters
1 West First Avenue 
Conshohocken, Pennsylvania    19428-1800
United States
Main Phone: 610 727 7000</v>
      </c>
      <c r="O83" t="str">
        <f t="shared" si="4"/>
        <v>0</v>
      </c>
      <c r="P83">
        <v>72392.600000000006</v>
      </c>
      <c r="Q83">
        <v>80732.399999999994</v>
      </c>
      <c r="R83">
        <v>4961.6000000000004</v>
      </c>
      <c r="S83" s="4">
        <f t="shared" si="5"/>
        <v>16.271444695259593</v>
      </c>
      <c r="T83">
        <v>325777.8</v>
      </c>
      <c r="U83" s="1">
        <v>1.52E-2</v>
      </c>
    </row>
    <row r="84" spans="1:21" x14ac:dyDescent="0.3">
      <c r="A84" t="s">
        <v>366</v>
      </c>
      <c r="B84" t="s">
        <v>367</v>
      </c>
      <c r="C84" t="s">
        <v>20</v>
      </c>
      <c r="D84" t="s">
        <v>368</v>
      </c>
      <c r="E84" t="s">
        <v>22</v>
      </c>
      <c r="F84" t="s">
        <v>33</v>
      </c>
      <c r="G84" s="6">
        <v>0</v>
      </c>
      <c r="H84" s="6">
        <v>61100</v>
      </c>
      <c r="I84" t="s">
        <v>369</v>
      </c>
      <c r="J84" t="s">
        <v>369</v>
      </c>
      <c r="K84">
        <v>1</v>
      </c>
      <c r="L84">
        <v>1984</v>
      </c>
      <c r="M84">
        <f t="shared" si="3"/>
        <v>42</v>
      </c>
      <c r="N84" t="str">
        <v>Headquarters
Centene Plaza
7700 Forsyth Boulevard 
Saint Louis, Missouri    63105
United States
Main Phone: 314 725 4477</v>
      </c>
      <c r="O84" t="str">
        <f t="shared" si="4"/>
        <v>0</v>
      </c>
      <c r="P84">
        <v>22070.7</v>
      </c>
      <c r="Q84">
        <v>22447.7</v>
      </c>
      <c r="R84">
        <v>2561</v>
      </c>
      <c r="S84" s="4">
        <f t="shared" si="5"/>
        <v>8.7652089027723541</v>
      </c>
      <c r="T84">
        <v>176151</v>
      </c>
      <c r="U84" s="1">
        <v>1.4500000000000001E-2</v>
      </c>
    </row>
    <row r="85" spans="1:21" x14ac:dyDescent="0.3">
      <c r="A85" t="s">
        <v>370</v>
      </c>
      <c r="B85" t="s">
        <v>371</v>
      </c>
      <c r="C85" t="s">
        <v>20</v>
      </c>
      <c r="D85" t="s">
        <v>372</v>
      </c>
      <c r="E85" t="s">
        <v>22</v>
      </c>
      <c r="F85" t="s">
        <v>89</v>
      </c>
      <c r="G85" s="6">
        <v>0</v>
      </c>
      <c r="H85" s="6">
        <v>8794</v>
      </c>
      <c r="J85" t="s">
        <v>373</v>
      </c>
      <c r="K85">
        <v>0</v>
      </c>
      <c r="L85">
        <v>1866</v>
      </c>
      <c r="M85">
        <f t="shared" si="3"/>
        <v>160</v>
      </c>
      <c r="N85" t="str">
        <v>Headquarters
1111 Louisiana Street 
Houston, Texas    77002
United States
Main Phone: 713 207 1111</v>
      </c>
      <c r="O85" t="str">
        <f t="shared" si="4"/>
        <v>0</v>
      </c>
      <c r="P85">
        <v>28399.9</v>
      </c>
      <c r="Q85">
        <v>50893.9</v>
      </c>
      <c r="R85">
        <v>3593</v>
      </c>
      <c r="S85" s="4">
        <f t="shared" si="5"/>
        <v>14.164736988588924</v>
      </c>
      <c r="T85">
        <v>9357</v>
      </c>
      <c r="U85" s="1">
        <v>0.38400000000000001</v>
      </c>
    </row>
    <row r="86" spans="1:21" x14ac:dyDescent="0.3">
      <c r="A86" t="s">
        <v>374</v>
      </c>
      <c r="B86" t="s">
        <v>375</v>
      </c>
      <c r="C86" t="s">
        <v>20</v>
      </c>
      <c r="D86" t="s">
        <v>376</v>
      </c>
      <c r="E86" t="s">
        <v>22</v>
      </c>
      <c r="F86" t="s">
        <v>62</v>
      </c>
      <c r="G86" s="6">
        <v>0</v>
      </c>
      <c r="H86" s="6">
        <v>2900</v>
      </c>
      <c r="J86" t="s">
        <v>377</v>
      </c>
      <c r="K86">
        <v>0</v>
      </c>
      <c r="L86">
        <v>1946</v>
      </c>
      <c r="M86">
        <f t="shared" si="3"/>
        <v>80</v>
      </c>
      <c r="N86" t="str">
        <v>Headquarters
2375 Waterview Drive 
Northbrook, Illinois    60062
United States
Main Phone: 847 405 2400</v>
      </c>
      <c r="O86" t="str">
        <f t="shared" si="4"/>
        <v>0</v>
      </c>
      <c r="P86">
        <v>15296.2</v>
      </c>
      <c r="Q86">
        <v>19887.2</v>
      </c>
      <c r="R86">
        <v>3240</v>
      </c>
      <c r="S86" s="4">
        <f t="shared" si="5"/>
        <v>6.1380246913580248</v>
      </c>
      <c r="T86">
        <v>7084</v>
      </c>
      <c r="U86" s="1">
        <v>0.45739999999999997</v>
      </c>
    </row>
    <row r="87" spans="1:21" x14ac:dyDescent="0.3">
      <c r="A87" t="s">
        <v>378</v>
      </c>
      <c r="B87" t="s">
        <v>379</v>
      </c>
      <c r="C87" t="s">
        <v>20</v>
      </c>
      <c r="D87" t="s">
        <v>380</v>
      </c>
      <c r="E87" t="s">
        <v>22</v>
      </c>
      <c r="F87" t="s">
        <v>33</v>
      </c>
      <c r="G87" s="6">
        <v>0</v>
      </c>
      <c r="H87" s="6">
        <v>19000</v>
      </c>
      <c r="J87" t="s">
        <v>381</v>
      </c>
      <c r="K87">
        <v>0</v>
      </c>
      <c r="L87">
        <v>1947</v>
      </c>
      <c r="M87">
        <f t="shared" si="3"/>
        <v>79</v>
      </c>
      <c r="N87" t="str">
        <v>Headquarters
251 Ballardvale Street 
Wilmington, Massachusetts    01887
United States
Main Phone: 781 222 6000</v>
      </c>
      <c r="O87" t="str">
        <f t="shared" si="4"/>
        <v>0</v>
      </c>
      <c r="P87">
        <v>8786.7000000000007</v>
      </c>
      <c r="Q87">
        <v>11250.9</v>
      </c>
      <c r="R87">
        <v>876.6</v>
      </c>
      <c r="S87" s="4">
        <f t="shared" si="5"/>
        <v>12.8347022587269</v>
      </c>
      <c r="T87">
        <v>4015.4</v>
      </c>
      <c r="U87" s="1">
        <v>0.21829999999999999</v>
      </c>
    </row>
    <row r="88" spans="1:21" x14ac:dyDescent="0.3">
      <c r="A88" t="s">
        <v>382</v>
      </c>
      <c r="B88" t="s">
        <v>383</v>
      </c>
      <c r="C88" t="s">
        <v>41</v>
      </c>
      <c r="D88" t="s">
        <v>384</v>
      </c>
      <c r="E88" t="s">
        <v>22</v>
      </c>
      <c r="F88" t="s">
        <v>95</v>
      </c>
      <c r="G88" s="6">
        <v>0</v>
      </c>
      <c r="H88" s="6">
        <v>91900</v>
      </c>
      <c r="J88" t="s">
        <v>385</v>
      </c>
      <c r="K88">
        <v>0</v>
      </c>
      <c r="L88">
        <v>1993</v>
      </c>
      <c r="M88">
        <f t="shared" si="3"/>
        <v>33</v>
      </c>
      <c r="N88" t="str">
        <v>Headquarters
400 Washington Blvd. 
Stamford, Connecticut    06902
United States
Main Phone: 203 905 7801</v>
      </c>
      <c r="O88" t="str">
        <f t="shared" si="4"/>
        <v>0</v>
      </c>
      <c r="P88">
        <v>29711.599999999999</v>
      </c>
      <c r="Q88">
        <v>132668.6</v>
      </c>
      <c r="R88">
        <v>22058</v>
      </c>
      <c r="S88" s="4">
        <f t="shared" si="5"/>
        <v>6.0145344092846136</v>
      </c>
      <c r="T88">
        <v>54774</v>
      </c>
      <c r="U88" s="1">
        <v>0.4027</v>
      </c>
    </row>
    <row r="89" spans="1:21" x14ac:dyDescent="0.3">
      <c r="A89" t="s">
        <v>386</v>
      </c>
      <c r="B89" t="s">
        <v>387</v>
      </c>
      <c r="C89" t="s">
        <v>20</v>
      </c>
      <c r="D89" t="s">
        <v>388</v>
      </c>
      <c r="E89" t="s">
        <v>22</v>
      </c>
      <c r="F89" t="s">
        <v>153</v>
      </c>
      <c r="G89" s="6">
        <v>0</v>
      </c>
      <c r="H89" s="6">
        <v>43039</v>
      </c>
      <c r="J89" t="s">
        <v>389</v>
      </c>
      <c r="K89">
        <v>0</v>
      </c>
      <c r="L89">
        <v>1879</v>
      </c>
      <c r="M89">
        <f t="shared" si="3"/>
        <v>147</v>
      </c>
      <c r="N89" t="str">
        <v>Headquarters
1400 Smith Street 
Houston, Texas    77002-7327
United States
Main Phone: 832 854 1000</v>
      </c>
      <c r="O89" t="str">
        <f t="shared" si="4"/>
        <v>0</v>
      </c>
      <c r="P89">
        <v>372658.2</v>
      </c>
      <c r="Q89">
        <v>418830.2</v>
      </c>
      <c r="R89">
        <v>37631</v>
      </c>
      <c r="S89" s="4">
        <f t="shared" si="5"/>
        <v>11.129924796045813</v>
      </c>
      <c r="T89">
        <v>184654</v>
      </c>
      <c r="U89" s="1">
        <v>0.20380000000000001</v>
      </c>
    </row>
    <row r="90" spans="1:21" x14ac:dyDescent="0.3">
      <c r="A90" t="s">
        <v>390</v>
      </c>
      <c r="B90" t="s">
        <v>391</v>
      </c>
      <c r="C90" t="s">
        <v>20</v>
      </c>
      <c r="D90" t="s">
        <v>392</v>
      </c>
      <c r="E90" t="s">
        <v>22</v>
      </c>
      <c r="F90" t="s">
        <v>67</v>
      </c>
      <c r="G90" s="6">
        <v>0</v>
      </c>
      <c r="H90" s="6">
        <v>130301</v>
      </c>
      <c r="J90" t="s">
        <v>393</v>
      </c>
      <c r="K90">
        <v>0</v>
      </c>
      <c r="L90">
        <v>1993</v>
      </c>
      <c r="M90">
        <f t="shared" si="3"/>
        <v>33</v>
      </c>
      <c r="N90" t="str">
        <v>Headquarters
610 Newport Center Drive
Suite 1100 
Newport Beach, California    92660
United States
Main Phone: 949 524 4000</v>
      </c>
      <c r="O90" t="str">
        <f t="shared" si="4"/>
        <v>1</v>
      </c>
      <c r="P90">
        <v>48476.2</v>
      </c>
      <c r="Q90">
        <v>52502.9</v>
      </c>
      <c r="R90">
        <v>2381.9</v>
      </c>
      <c r="S90" s="4">
        <f t="shared" si="5"/>
        <v>22.042445106847474</v>
      </c>
      <c r="T90">
        <v>11925.6</v>
      </c>
      <c r="U90" s="1">
        <v>0.19969999999999999</v>
      </c>
    </row>
    <row r="91" spans="1:21" x14ac:dyDescent="0.3">
      <c r="A91" t="s">
        <v>394</v>
      </c>
      <c r="B91" t="s">
        <v>395</v>
      </c>
      <c r="C91" t="s">
        <v>20</v>
      </c>
      <c r="D91" t="s">
        <v>396</v>
      </c>
      <c r="E91" t="s">
        <v>22</v>
      </c>
      <c r="F91" t="s">
        <v>100</v>
      </c>
      <c r="G91" s="6">
        <v>0</v>
      </c>
      <c r="H91" s="6">
        <v>5550</v>
      </c>
      <c r="J91" t="s">
        <v>397</v>
      </c>
      <c r="K91">
        <v>0</v>
      </c>
      <c r="L91">
        <v>1846</v>
      </c>
      <c r="M91">
        <f t="shared" si="3"/>
        <v>180</v>
      </c>
      <c r="N91" t="str">
        <v>Headquarters
Princeton South Corporate Center
500 Charles Ewing Boulevard 
Ewing, New Jersey    08628
United States
Main Phone: 609 806 1200</v>
      </c>
      <c r="O91" t="str">
        <f t="shared" si="4"/>
        <v>0</v>
      </c>
      <c r="P91">
        <v>24819.8</v>
      </c>
      <c r="Q91">
        <v>26792.799999999999</v>
      </c>
      <c r="R91">
        <v>1382.4</v>
      </c>
      <c r="S91" s="4">
        <f t="shared" si="5"/>
        <v>19.38136574074074</v>
      </c>
      <c r="T91">
        <v>6203.2</v>
      </c>
      <c r="U91" s="1">
        <v>0.22289999999999999</v>
      </c>
    </row>
    <row r="92" spans="1:21" x14ac:dyDescent="0.3">
      <c r="A92" t="s">
        <v>398</v>
      </c>
      <c r="B92" t="s">
        <v>399</v>
      </c>
      <c r="C92" t="s">
        <v>20</v>
      </c>
      <c r="D92" t="s">
        <v>400</v>
      </c>
      <c r="E92" t="s">
        <v>22</v>
      </c>
      <c r="F92" t="s">
        <v>43</v>
      </c>
      <c r="G92" s="6">
        <v>0</v>
      </c>
      <c r="H92" s="6">
        <v>8989</v>
      </c>
      <c r="J92" t="s">
        <v>401</v>
      </c>
      <c r="K92">
        <v>0</v>
      </c>
      <c r="L92">
        <v>1992</v>
      </c>
      <c r="M92">
        <f t="shared" si="3"/>
        <v>34</v>
      </c>
      <c r="N92" t="str">
        <v>Headquarters
7035 Ridge Road 
Hanover, Maryland    21076
United States
Main Phone: 410 694 5700</v>
      </c>
      <c r="O92" t="str">
        <f t="shared" si="4"/>
        <v>0</v>
      </c>
      <c r="P92">
        <v>49328.3</v>
      </c>
      <c r="Q92">
        <v>49590</v>
      </c>
      <c r="R92">
        <v>451.1</v>
      </c>
      <c r="S92" s="4">
        <f t="shared" si="5"/>
        <v>109.93127909554423</v>
      </c>
      <c r="T92">
        <v>4769.5</v>
      </c>
      <c r="U92" s="1">
        <v>9.4600000000000004E-2</v>
      </c>
    </row>
    <row r="93" spans="1:21" x14ac:dyDescent="0.3">
      <c r="A93" t="s">
        <v>402</v>
      </c>
      <c r="B93" t="s">
        <v>403</v>
      </c>
      <c r="C93" t="s">
        <v>41</v>
      </c>
      <c r="D93" t="s">
        <v>404</v>
      </c>
      <c r="E93" t="s">
        <v>22</v>
      </c>
      <c r="F93" t="s">
        <v>53</v>
      </c>
      <c r="G93" s="6">
        <v>1</v>
      </c>
      <c r="H93" s="6">
        <v>5705</v>
      </c>
      <c r="J93" t="s">
        <v>405</v>
      </c>
      <c r="K93">
        <v>0</v>
      </c>
      <c r="L93">
        <v>1950</v>
      </c>
      <c r="M93">
        <f t="shared" si="3"/>
        <v>76</v>
      </c>
      <c r="N93" t="str">
        <v>Headquarters
6200 South Gilmore Road 
Fairfield, Ohio    45014-5141
United States
Main Phone: 513 870 2000</v>
      </c>
      <c r="O93" t="str">
        <f t="shared" si="4"/>
        <v>0</v>
      </c>
      <c r="P93">
        <v>25518.2</v>
      </c>
      <c r="Q93">
        <v>24973.200000000001</v>
      </c>
      <c r="R93">
        <v>3201</v>
      </c>
      <c r="S93" s="4">
        <f t="shared" si="5"/>
        <v>7.8016869728209937</v>
      </c>
      <c r="T93">
        <v>12631</v>
      </c>
      <c r="U93" s="1">
        <v>0.25340000000000001</v>
      </c>
    </row>
    <row r="94" spans="1:21" x14ac:dyDescent="0.3">
      <c r="A94" t="s">
        <v>406</v>
      </c>
      <c r="B94" t="s">
        <v>407</v>
      </c>
      <c r="C94" t="s">
        <v>41</v>
      </c>
      <c r="D94" t="s">
        <v>408</v>
      </c>
      <c r="E94" t="s">
        <v>22</v>
      </c>
      <c r="F94" t="s">
        <v>28</v>
      </c>
      <c r="G94" s="6">
        <v>0</v>
      </c>
      <c r="H94" s="6">
        <v>48300</v>
      </c>
      <c r="J94" t="s">
        <v>409</v>
      </c>
      <c r="K94">
        <v>0</v>
      </c>
      <c r="L94">
        <v>1968</v>
      </c>
      <c r="M94">
        <f t="shared" si="3"/>
        <v>58</v>
      </c>
      <c r="N94" t="str">
        <v>Headquarters
6800 Cintas Boulevard
P.O. Box 625737 
Cincinnati, Ohio    45262-5737
United States
Main Phone: 513 459 1200</v>
      </c>
      <c r="O94" t="str">
        <f t="shared" si="4"/>
        <v>0</v>
      </c>
      <c r="P94">
        <v>80429.8</v>
      </c>
      <c r="Q94">
        <v>83466</v>
      </c>
      <c r="R94">
        <v>2849</v>
      </c>
      <c r="S94" s="4">
        <f t="shared" si="5"/>
        <v>29.296595296595296</v>
      </c>
      <c r="T94">
        <v>10794.9</v>
      </c>
      <c r="U94" s="1">
        <v>0.26390000000000002</v>
      </c>
    </row>
    <row r="95" spans="1:21" x14ac:dyDescent="0.3">
      <c r="A95" t="s">
        <v>410</v>
      </c>
      <c r="B95" t="s">
        <v>411</v>
      </c>
      <c r="C95" t="s">
        <v>41</v>
      </c>
      <c r="D95" t="s">
        <v>412</v>
      </c>
      <c r="E95" t="s">
        <v>22</v>
      </c>
      <c r="F95" t="s">
        <v>43</v>
      </c>
      <c r="G95" s="6">
        <v>0</v>
      </c>
      <c r="H95" s="6">
        <v>86200</v>
      </c>
      <c r="J95" t="s">
        <v>413</v>
      </c>
      <c r="K95">
        <v>0</v>
      </c>
      <c r="L95">
        <v>1984</v>
      </c>
      <c r="M95">
        <f t="shared" si="3"/>
        <v>42</v>
      </c>
      <c r="N95" t="str">
        <v>Headquarters
170 West Tasman Drive 
San Jose, California    95134-1706
United States
Main Phone: (408) 526-4000</v>
      </c>
      <c r="O95" t="str">
        <f t="shared" si="4"/>
        <v>1</v>
      </c>
      <c r="P95">
        <v>313858.5</v>
      </c>
      <c r="Q95">
        <v>329821.5</v>
      </c>
      <c r="R95">
        <v>16291</v>
      </c>
      <c r="S95" s="4">
        <f t="shared" si="5"/>
        <v>20.245626419495427</v>
      </c>
      <c r="T95">
        <v>59054</v>
      </c>
      <c r="U95" s="1">
        <v>0.27589999999999998</v>
      </c>
    </row>
    <row r="96" spans="1:21" x14ac:dyDescent="0.3">
      <c r="A96" t="s">
        <v>414</v>
      </c>
      <c r="B96" t="s">
        <v>415</v>
      </c>
      <c r="C96" t="s">
        <v>20</v>
      </c>
      <c r="D96" t="s">
        <v>416</v>
      </c>
      <c r="E96" t="s">
        <v>22</v>
      </c>
      <c r="F96" t="s">
        <v>53</v>
      </c>
      <c r="G96" s="6">
        <v>1</v>
      </c>
      <c r="H96" s="6">
        <v>226000</v>
      </c>
      <c r="I96" t="s">
        <v>417</v>
      </c>
      <c r="J96" t="s">
        <v>417</v>
      </c>
      <c r="K96">
        <v>1</v>
      </c>
      <c r="L96">
        <v>1812</v>
      </c>
      <c r="M96">
        <f t="shared" si="3"/>
        <v>214</v>
      </c>
      <c r="N96" t="str">
        <v>Headquarters
388 Greenwich Street 
New York, New York    10013
United States
Main Phone: 212 559 1000</v>
      </c>
      <c r="O96" t="str">
        <f t="shared" si="4"/>
        <v>0</v>
      </c>
      <c r="P96">
        <v>192757.5</v>
      </c>
      <c r="Q96" t="s">
        <v>91</v>
      </c>
      <c r="R96">
        <v>0</v>
      </c>
      <c r="S96" s="4" t="e">
        <f t="shared" si="5"/>
        <v>#VALUE!</v>
      </c>
      <c r="T96">
        <v>75716</v>
      </c>
      <c r="U96" s="1">
        <v>0</v>
      </c>
    </row>
    <row r="97" spans="1:21" x14ac:dyDescent="0.3">
      <c r="A97" t="s">
        <v>418</v>
      </c>
      <c r="B97" t="s">
        <v>419</v>
      </c>
      <c r="C97" t="s">
        <v>20</v>
      </c>
      <c r="D97" t="s">
        <v>420</v>
      </c>
      <c r="E97" t="s">
        <v>22</v>
      </c>
      <c r="F97" t="s">
        <v>53</v>
      </c>
      <c r="G97" s="6">
        <v>1</v>
      </c>
      <c r="H97" s="6">
        <v>17398</v>
      </c>
      <c r="J97" t="s">
        <v>421</v>
      </c>
      <c r="K97">
        <v>0</v>
      </c>
      <c r="L97">
        <v>1828</v>
      </c>
      <c r="M97">
        <f t="shared" si="3"/>
        <v>198</v>
      </c>
      <c r="N97" t="str">
        <v>Headquarters
One Citizens Plaza 
Providence, Rhode Island    02903
United States
Main Phone: 203 900 6715</v>
      </c>
      <c r="O97" t="str">
        <f t="shared" si="4"/>
        <v>0</v>
      </c>
      <c r="P97">
        <v>25579.8</v>
      </c>
      <c r="Q97" t="s">
        <v>91</v>
      </c>
      <c r="R97">
        <v>0</v>
      </c>
      <c r="S97" s="4" t="e">
        <f t="shared" si="5"/>
        <v>#VALUE!</v>
      </c>
      <c r="T97">
        <v>7639</v>
      </c>
      <c r="U97" s="1">
        <v>0</v>
      </c>
    </row>
    <row r="98" spans="1:21" x14ac:dyDescent="0.3">
      <c r="A98" t="s">
        <v>422</v>
      </c>
      <c r="B98" t="s">
        <v>423</v>
      </c>
      <c r="C98" t="s">
        <v>41</v>
      </c>
      <c r="D98" t="s">
        <v>424</v>
      </c>
      <c r="E98" t="s">
        <v>22</v>
      </c>
      <c r="F98" t="s">
        <v>53</v>
      </c>
      <c r="G98" s="6">
        <v>1</v>
      </c>
      <c r="H98" s="6">
        <v>3760</v>
      </c>
      <c r="J98" t="s">
        <v>425</v>
      </c>
      <c r="K98">
        <v>0</v>
      </c>
      <c r="L98">
        <v>1898</v>
      </c>
      <c r="M98">
        <f t="shared" si="3"/>
        <v>128</v>
      </c>
      <c r="N98" t="str">
        <v>Headquarters
20 South Wacker Drive 
Chicago, Illinois    60606
United States
Main Phone: 312 930 1000</v>
      </c>
      <c r="O98" t="str">
        <f t="shared" si="4"/>
        <v>0</v>
      </c>
      <c r="P98">
        <v>114580.8</v>
      </c>
      <c r="Q98">
        <v>113796.1</v>
      </c>
      <c r="R98">
        <v>4590</v>
      </c>
      <c r="S98" s="4">
        <f t="shared" si="5"/>
        <v>24.792178649237474</v>
      </c>
      <c r="T98">
        <v>6506.8</v>
      </c>
      <c r="U98" s="1">
        <v>0.70540000000000003</v>
      </c>
    </row>
    <row r="99" spans="1:21" x14ac:dyDescent="0.3">
      <c r="A99" t="s">
        <v>426</v>
      </c>
      <c r="B99" t="s">
        <v>427</v>
      </c>
      <c r="C99" t="s">
        <v>20</v>
      </c>
      <c r="D99" t="s">
        <v>428</v>
      </c>
      <c r="E99" t="s">
        <v>22</v>
      </c>
      <c r="F99" t="s">
        <v>89</v>
      </c>
      <c r="G99" s="6">
        <v>0</v>
      </c>
      <c r="H99" s="6">
        <v>8350</v>
      </c>
      <c r="J99" t="s">
        <v>429</v>
      </c>
      <c r="K99">
        <v>0</v>
      </c>
      <c r="L99">
        <v>1987</v>
      </c>
      <c r="M99">
        <f t="shared" si="3"/>
        <v>39</v>
      </c>
      <c r="N99" t="str">
        <v>Headquarters
One Energy Plaza 
Jackson, Michigan    49201
United States
Main Phone: 517 788 0550</v>
      </c>
      <c r="O99" t="str">
        <f t="shared" si="4"/>
        <v>0</v>
      </c>
      <c r="P99">
        <v>23922.3</v>
      </c>
      <c r="Q99">
        <v>43127.3</v>
      </c>
      <c r="R99">
        <v>3019</v>
      </c>
      <c r="S99" s="4">
        <f t="shared" si="5"/>
        <v>14.285293143424976</v>
      </c>
      <c r="T99">
        <v>8539</v>
      </c>
      <c r="U99" s="1">
        <v>0.35360000000000003</v>
      </c>
    </row>
    <row r="100" spans="1:21" x14ac:dyDescent="0.3">
      <c r="A100" t="s">
        <v>430</v>
      </c>
      <c r="B100" t="s">
        <v>431</v>
      </c>
      <c r="C100" t="s">
        <v>41</v>
      </c>
      <c r="D100" t="s">
        <v>432</v>
      </c>
      <c r="E100" t="s">
        <v>22</v>
      </c>
      <c r="F100" t="s">
        <v>43</v>
      </c>
      <c r="G100" s="6">
        <v>0</v>
      </c>
      <c r="H100" s="6">
        <v>351600</v>
      </c>
      <c r="J100" t="s">
        <v>433</v>
      </c>
      <c r="K100">
        <v>0</v>
      </c>
      <c r="L100">
        <v>1988</v>
      </c>
      <c r="M100">
        <f t="shared" si="3"/>
        <v>38</v>
      </c>
      <c r="N100" t="str">
        <v>Headquarters
300 Frank West Burr Boulevard
Suite 36, 6th Floor 
Teaneck, New Jersey    07666
United States
Main Phone: 201 801 0233</v>
      </c>
      <c r="O100" t="str">
        <f t="shared" si="4"/>
        <v>0</v>
      </c>
      <c r="P100">
        <v>30813.4</v>
      </c>
      <c r="Q100">
        <v>30073.4</v>
      </c>
      <c r="R100">
        <v>3834</v>
      </c>
      <c r="S100" s="4">
        <f t="shared" si="5"/>
        <v>7.8438706311945756</v>
      </c>
      <c r="T100">
        <v>21108</v>
      </c>
      <c r="U100" s="1">
        <v>0.18160000000000001</v>
      </c>
    </row>
    <row r="101" spans="1:21" x14ac:dyDescent="0.3">
      <c r="A101" t="s">
        <v>434</v>
      </c>
      <c r="B101" t="s">
        <v>435</v>
      </c>
      <c r="C101" t="s">
        <v>41</v>
      </c>
      <c r="D101" t="s">
        <v>436</v>
      </c>
      <c r="E101" t="s">
        <v>22</v>
      </c>
      <c r="F101" t="s">
        <v>53</v>
      </c>
      <c r="G101" s="6">
        <v>1</v>
      </c>
      <c r="H101" s="6">
        <v>4951</v>
      </c>
      <c r="J101" t="s">
        <v>437</v>
      </c>
      <c r="K101">
        <v>0</v>
      </c>
      <c r="L101">
        <v>2012</v>
      </c>
      <c r="M101">
        <f t="shared" si="3"/>
        <v>14</v>
      </c>
      <c r="N101" t="str">
        <v>Headquarters
One Madison Avenue
Suite 2400 
New York, New York    10010
United States
Main Phone: 888 908 7930</v>
      </c>
      <c r="O101" t="str">
        <f t="shared" si="4"/>
        <v>0</v>
      </c>
      <c r="P101">
        <v>46437.599999999999</v>
      </c>
      <c r="Q101">
        <v>42700.4</v>
      </c>
      <c r="R101">
        <v>1671.2</v>
      </c>
      <c r="S101" s="4">
        <f t="shared" si="5"/>
        <v>25.550741981809477</v>
      </c>
      <c r="T101">
        <v>6883.4</v>
      </c>
      <c r="U101" s="1">
        <v>0.24279999999999999</v>
      </c>
    </row>
    <row r="102" spans="1:21" x14ac:dyDescent="0.3">
      <c r="A102" t="s">
        <v>438</v>
      </c>
      <c r="B102" t="s">
        <v>439</v>
      </c>
      <c r="C102" t="s">
        <v>20</v>
      </c>
      <c r="D102" t="s">
        <v>440</v>
      </c>
      <c r="E102" t="s">
        <v>22</v>
      </c>
      <c r="F102" t="s">
        <v>100</v>
      </c>
      <c r="G102" s="6">
        <v>0</v>
      </c>
      <c r="H102" s="6">
        <v>33600</v>
      </c>
      <c r="J102" t="s">
        <v>441</v>
      </c>
      <c r="K102">
        <v>0</v>
      </c>
      <c r="L102">
        <v>1806</v>
      </c>
      <c r="M102">
        <f t="shared" si="3"/>
        <v>220</v>
      </c>
      <c r="N102" t="str">
        <v>Headquarters
300 Park Avenue 
New York, New York    10022-7499
United States
Main Phone: 212 310 2000</v>
      </c>
      <c r="O102" t="str">
        <f t="shared" si="4"/>
        <v>0</v>
      </c>
      <c r="P102">
        <v>79465.5</v>
      </c>
      <c r="Q102">
        <v>86935.5</v>
      </c>
      <c r="R102">
        <v>4868</v>
      </c>
      <c r="S102" s="4">
        <f t="shared" si="5"/>
        <v>17.8585661462613</v>
      </c>
      <c r="T102">
        <v>20382</v>
      </c>
      <c r="U102" s="1">
        <v>0.23880000000000001</v>
      </c>
    </row>
    <row r="103" spans="1:21" x14ac:dyDescent="0.3">
      <c r="A103" t="s">
        <v>442</v>
      </c>
      <c r="B103" t="s">
        <v>443</v>
      </c>
      <c r="C103" t="s">
        <v>41</v>
      </c>
      <c r="D103" t="s">
        <v>444</v>
      </c>
      <c r="E103" t="s">
        <v>22</v>
      </c>
      <c r="F103" t="s">
        <v>95</v>
      </c>
      <c r="G103" s="6">
        <v>0</v>
      </c>
      <c r="H103" s="6">
        <v>179000</v>
      </c>
      <c r="J103" t="s">
        <v>445</v>
      </c>
      <c r="K103">
        <v>0</v>
      </c>
      <c r="L103">
        <v>1963</v>
      </c>
      <c r="M103">
        <f t="shared" si="3"/>
        <v>63</v>
      </c>
      <c r="N103" t="str">
        <v>Headquarters
One Comcast Center 
Philadelphia, Pennsylvania    19103-2838
United States
Main Phone: (215) 286-1700</v>
      </c>
      <c r="O103" t="str">
        <f t="shared" si="4"/>
        <v>0</v>
      </c>
      <c r="P103">
        <v>111389.3</v>
      </c>
      <c r="Q103">
        <v>207414.3</v>
      </c>
      <c r="R103">
        <v>36880</v>
      </c>
      <c r="S103" s="4">
        <f t="shared" si="5"/>
        <v>5.6240319956616052</v>
      </c>
      <c r="T103">
        <v>123707</v>
      </c>
      <c r="U103" s="1">
        <v>0.29809999999999998</v>
      </c>
    </row>
    <row r="104" spans="1:21" x14ac:dyDescent="0.3">
      <c r="A104" t="s">
        <v>446</v>
      </c>
      <c r="B104" t="s">
        <v>447</v>
      </c>
      <c r="C104" t="s">
        <v>20</v>
      </c>
      <c r="D104" t="s">
        <v>448</v>
      </c>
      <c r="E104" t="s">
        <v>22</v>
      </c>
      <c r="F104" t="s">
        <v>28</v>
      </c>
      <c r="G104" s="6">
        <v>0</v>
      </c>
      <c r="H104" s="6">
        <v>22700</v>
      </c>
      <c r="J104" t="s">
        <v>449</v>
      </c>
      <c r="K104">
        <v>0</v>
      </c>
      <c r="L104">
        <v>1917</v>
      </c>
      <c r="M104">
        <f t="shared" si="3"/>
        <v>109</v>
      </c>
      <c r="N104" t="str">
        <v>Headquarters
9753 Katy Freeway
Suite 700 
Houston, Texas    77024
United States
Main Phone: 713 830 9600</v>
      </c>
      <c r="O104" t="str">
        <f t="shared" si="4"/>
        <v>0</v>
      </c>
      <c r="P104">
        <v>50195.1</v>
      </c>
      <c r="Q104">
        <v>49662.2</v>
      </c>
      <c r="R104">
        <v>1454.6</v>
      </c>
      <c r="S104" s="4">
        <f t="shared" si="5"/>
        <v>34.141482194417712</v>
      </c>
      <c r="T104">
        <v>9101.6</v>
      </c>
      <c r="U104" s="1">
        <v>0.1598</v>
      </c>
    </row>
    <row r="105" spans="1:21" x14ac:dyDescent="0.3">
      <c r="A105" t="s">
        <v>450</v>
      </c>
      <c r="B105" t="s">
        <v>451</v>
      </c>
      <c r="C105" t="s">
        <v>20</v>
      </c>
      <c r="D105" t="s">
        <v>452</v>
      </c>
      <c r="E105" t="s">
        <v>22</v>
      </c>
      <c r="F105" t="s">
        <v>100</v>
      </c>
      <c r="G105" s="6">
        <v>0</v>
      </c>
      <c r="H105" s="6">
        <v>18300</v>
      </c>
      <c r="J105" t="s">
        <v>453</v>
      </c>
      <c r="K105">
        <v>0</v>
      </c>
      <c r="L105">
        <v>1919</v>
      </c>
      <c r="M105">
        <f t="shared" si="3"/>
        <v>107</v>
      </c>
      <c r="N105" t="str">
        <v>Headquarters
222 West Merchandise Mart Plaza
Suite 1300 
Chicago, Illinois    60654
United States
Main Phone: 312 549 5000</v>
      </c>
      <c r="O105" t="str">
        <f t="shared" si="4"/>
        <v>0</v>
      </c>
      <c r="P105">
        <v>9208.6</v>
      </c>
      <c r="Q105">
        <v>16785.900000000001</v>
      </c>
      <c r="R105">
        <v>1812</v>
      </c>
      <c r="S105" s="4">
        <f t="shared" si="5"/>
        <v>9.2637417218543057</v>
      </c>
      <c r="T105">
        <v>11234.5</v>
      </c>
      <c r="U105" s="1">
        <v>0.1613</v>
      </c>
    </row>
    <row r="106" spans="1:21" x14ac:dyDescent="0.3">
      <c r="A106" t="s">
        <v>454</v>
      </c>
      <c r="B106" t="s">
        <v>455</v>
      </c>
      <c r="C106" t="s">
        <v>20</v>
      </c>
      <c r="D106" t="s">
        <v>456</v>
      </c>
      <c r="E106" t="s">
        <v>22</v>
      </c>
      <c r="F106" t="s">
        <v>153</v>
      </c>
      <c r="G106" s="6">
        <v>0</v>
      </c>
      <c r="H106" s="6">
        <v>9900</v>
      </c>
      <c r="J106" t="s">
        <v>457</v>
      </c>
      <c r="K106">
        <v>0</v>
      </c>
      <c r="L106">
        <v>1917</v>
      </c>
      <c r="M106">
        <f t="shared" si="3"/>
        <v>109</v>
      </c>
      <c r="N106" t="str">
        <v>Headquarters
925 North Eldridge Parkway 
Houston, Texas    77079-2703
United States
Main Phone: 281 293 1000</v>
      </c>
      <c r="O106" t="str">
        <f t="shared" si="4"/>
        <v>0</v>
      </c>
      <c r="P106">
        <v>138686.6</v>
      </c>
      <c r="Q106">
        <v>156099.6</v>
      </c>
      <c r="R106">
        <v>24161</v>
      </c>
      <c r="S106" s="4">
        <f t="shared" si="5"/>
        <v>6.4608087413600437</v>
      </c>
      <c r="T106">
        <v>60279</v>
      </c>
      <c r="U106" s="1">
        <v>0.40079999999999999</v>
      </c>
    </row>
    <row r="107" spans="1:21" x14ac:dyDescent="0.3">
      <c r="A107" t="s">
        <v>458</v>
      </c>
      <c r="B107" t="s">
        <v>459</v>
      </c>
      <c r="C107" t="s">
        <v>20</v>
      </c>
      <c r="D107" t="s">
        <v>460</v>
      </c>
      <c r="E107" t="s">
        <v>22</v>
      </c>
      <c r="F107" t="s">
        <v>89</v>
      </c>
      <c r="G107" s="6">
        <v>0</v>
      </c>
      <c r="H107" s="6">
        <v>15407</v>
      </c>
      <c r="J107" t="s">
        <v>461</v>
      </c>
      <c r="K107">
        <v>0</v>
      </c>
      <c r="L107">
        <v>1823</v>
      </c>
      <c r="M107">
        <f t="shared" si="3"/>
        <v>203</v>
      </c>
      <c r="N107" t="str">
        <v>Headquarters
4 Irving Place 
New York, New York    10003
United States
Main Phone: 212 460 4600</v>
      </c>
      <c r="O107" t="str">
        <f t="shared" si="4"/>
        <v>0</v>
      </c>
      <c r="P107">
        <v>40653.800000000003</v>
      </c>
      <c r="Q107">
        <v>67403.8</v>
      </c>
      <c r="R107">
        <v>6022</v>
      </c>
      <c r="S107" s="4">
        <f t="shared" si="5"/>
        <v>11.192925938226503</v>
      </c>
      <c r="T107">
        <v>16918</v>
      </c>
      <c r="U107" s="1">
        <v>0.35599999999999998</v>
      </c>
    </row>
    <row r="108" spans="1:21" x14ac:dyDescent="0.3">
      <c r="A108" t="s">
        <v>462</v>
      </c>
      <c r="B108" t="s">
        <v>463</v>
      </c>
      <c r="C108" t="s">
        <v>20</v>
      </c>
      <c r="D108" t="s">
        <v>464</v>
      </c>
      <c r="E108" t="s">
        <v>22</v>
      </c>
      <c r="F108" t="s">
        <v>100</v>
      </c>
      <c r="G108" s="6">
        <v>0</v>
      </c>
      <c r="H108" s="6">
        <v>10600</v>
      </c>
      <c r="J108" t="s">
        <v>465</v>
      </c>
      <c r="K108">
        <v>0</v>
      </c>
      <c r="L108">
        <v>1945</v>
      </c>
      <c r="M108">
        <f t="shared" si="3"/>
        <v>81</v>
      </c>
      <c r="N108" t="str">
        <v>Headquarters
50 East Broad Street 
Rochester, New York    14614
United States
Main Phone: 585 678 7100</v>
      </c>
      <c r="O108" t="str">
        <f t="shared" si="4"/>
        <v>0</v>
      </c>
      <c r="P108">
        <v>27370.5</v>
      </c>
      <c r="Q108">
        <v>38171.4</v>
      </c>
      <c r="R108">
        <v>3546.4</v>
      </c>
      <c r="S108" s="4">
        <f t="shared" si="5"/>
        <v>10.763422061809159</v>
      </c>
      <c r="T108">
        <v>9383</v>
      </c>
      <c r="U108" s="1">
        <v>0.378</v>
      </c>
    </row>
    <row r="109" spans="1:21" x14ac:dyDescent="0.3">
      <c r="A109" t="s">
        <v>466</v>
      </c>
      <c r="B109" t="s">
        <v>467</v>
      </c>
      <c r="C109" t="s">
        <v>41</v>
      </c>
      <c r="D109" t="s">
        <v>468</v>
      </c>
      <c r="E109" t="s">
        <v>22</v>
      </c>
      <c r="F109" t="s">
        <v>89</v>
      </c>
      <c r="G109" s="6">
        <v>0</v>
      </c>
      <c r="H109" s="6">
        <v>15315</v>
      </c>
      <c r="J109" t="s">
        <v>469</v>
      </c>
      <c r="K109">
        <v>0</v>
      </c>
      <c r="L109">
        <v>2021</v>
      </c>
      <c r="M109">
        <f t="shared" si="3"/>
        <v>5</v>
      </c>
      <c r="N109" t="str">
        <v>Headquarters
1310 Point Street 
Baltimore, Maryland    21231-3380
United States
Main Phone: 833 883 0162</v>
      </c>
      <c r="O109" t="str">
        <f t="shared" si="4"/>
        <v>0</v>
      </c>
      <c r="P109">
        <v>119413.4</v>
      </c>
      <c r="Q109">
        <v>125605.4</v>
      </c>
      <c r="R109">
        <v>5632</v>
      </c>
      <c r="S109" s="4">
        <f t="shared" si="5"/>
        <v>22.302095170454546</v>
      </c>
      <c r="T109">
        <v>25533</v>
      </c>
      <c r="U109" s="1">
        <v>0.22059999999999999</v>
      </c>
    </row>
    <row r="110" spans="1:21" x14ac:dyDescent="0.3">
      <c r="A110" t="s">
        <v>470</v>
      </c>
      <c r="B110" t="s">
        <v>471</v>
      </c>
      <c r="C110" t="s">
        <v>41</v>
      </c>
      <c r="D110" t="s">
        <v>472</v>
      </c>
      <c r="E110" t="s">
        <v>22</v>
      </c>
      <c r="F110" t="s">
        <v>28</v>
      </c>
      <c r="G110" s="6">
        <v>0</v>
      </c>
      <c r="H110" s="6">
        <v>13800</v>
      </c>
      <c r="J110" t="s">
        <v>473</v>
      </c>
      <c r="K110">
        <v>0</v>
      </c>
      <c r="L110">
        <v>1982</v>
      </c>
      <c r="M110">
        <f t="shared" si="3"/>
        <v>44</v>
      </c>
      <c r="N110" t="str">
        <v>Headquarters
14185 Dallas Parkway
Suite 300 
Dallas, Texas    75254
United States
Main Phone: 972 391 5000
Main Fax: 469 791 9009</v>
      </c>
      <c r="O110" t="str">
        <f t="shared" si="4"/>
        <v>0</v>
      </c>
      <c r="P110">
        <v>36871.800000000003</v>
      </c>
      <c r="Q110">
        <v>31884.3</v>
      </c>
      <c r="R110">
        <v>1943.9</v>
      </c>
      <c r="S110" s="4">
        <f t="shared" si="5"/>
        <v>16.402232625135035</v>
      </c>
      <c r="T110">
        <v>4613.5</v>
      </c>
      <c r="U110" s="1">
        <v>0.4214</v>
      </c>
    </row>
    <row r="111" spans="1:21" x14ac:dyDescent="0.3">
      <c r="A111" t="s">
        <v>474</v>
      </c>
      <c r="B111" t="s">
        <v>475</v>
      </c>
      <c r="C111" t="s">
        <v>20</v>
      </c>
      <c r="D111" t="s">
        <v>476</v>
      </c>
      <c r="E111" t="s">
        <v>22</v>
      </c>
      <c r="F111" t="s">
        <v>43</v>
      </c>
      <c r="G111" s="6">
        <v>0</v>
      </c>
      <c r="H111" s="6">
        <v>67200</v>
      </c>
      <c r="J111" t="s">
        <v>477</v>
      </c>
      <c r="K111">
        <v>0</v>
      </c>
      <c r="L111">
        <v>1851</v>
      </c>
      <c r="M111">
        <f t="shared" si="3"/>
        <v>175</v>
      </c>
      <c r="N111" t="str">
        <v>Headquarters
One Riverfront Plaza 
Corning, New York    14831
United States
Main Phone: 607-974-9000</v>
      </c>
      <c r="O111" t="str">
        <f t="shared" si="4"/>
        <v>0</v>
      </c>
      <c r="P111">
        <v>129018.2</v>
      </c>
      <c r="Q111">
        <v>137369.20000000001</v>
      </c>
      <c r="R111">
        <v>3671</v>
      </c>
      <c r="S111" s="4">
        <f t="shared" si="5"/>
        <v>37.420103514028881</v>
      </c>
      <c r="T111">
        <v>15629</v>
      </c>
      <c r="U111" s="1">
        <v>0.2349</v>
      </c>
    </row>
    <row r="112" spans="1:21" x14ac:dyDescent="0.3">
      <c r="A112" t="s">
        <v>478</v>
      </c>
      <c r="B112" t="s">
        <v>479</v>
      </c>
      <c r="C112" t="s">
        <v>20</v>
      </c>
      <c r="D112" t="s">
        <v>480</v>
      </c>
      <c r="E112" t="s">
        <v>22</v>
      </c>
      <c r="F112" t="s">
        <v>53</v>
      </c>
      <c r="G112" s="6">
        <v>1</v>
      </c>
      <c r="H112" s="6">
        <v>11200</v>
      </c>
      <c r="J112" t="s">
        <v>481</v>
      </c>
      <c r="K112">
        <v>0</v>
      </c>
      <c r="L112">
        <v>1986</v>
      </c>
      <c r="M112">
        <f t="shared" si="3"/>
        <v>40</v>
      </c>
      <c r="N112" t="str">
        <v>Headquarters
3280 Peachtree Road
Suite 2400 
Atlanta, Georgia    30305
United States
Main Phone: 770 449 0479</v>
      </c>
      <c r="O112" t="str">
        <f t="shared" si="4"/>
        <v>0</v>
      </c>
      <c r="P112">
        <v>22123.200000000001</v>
      </c>
      <c r="Q112">
        <v>30335.9</v>
      </c>
      <c r="R112">
        <v>2291</v>
      </c>
      <c r="S112" s="4">
        <f t="shared" si="5"/>
        <v>13.241335661283284</v>
      </c>
      <c r="T112">
        <v>4528.3999999999996</v>
      </c>
      <c r="U112" s="1">
        <v>0.50590000000000002</v>
      </c>
    </row>
    <row r="113" spans="1:21" x14ac:dyDescent="0.3">
      <c r="A113" t="s">
        <v>482</v>
      </c>
      <c r="B113" t="s">
        <v>483</v>
      </c>
      <c r="C113" t="s">
        <v>20</v>
      </c>
      <c r="D113" t="s">
        <v>484</v>
      </c>
      <c r="E113" t="s">
        <v>22</v>
      </c>
      <c r="F113" t="s">
        <v>62</v>
      </c>
      <c r="G113" s="6">
        <v>0</v>
      </c>
      <c r="H113" s="6">
        <v>21500</v>
      </c>
      <c r="J113" t="s">
        <v>485</v>
      </c>
      <c r="K113">
        <v>0</v>
      </c>
      <c r="L113">
        <v>1802</v>
      </c>
      <c r="M113">
        <f t="shared" si="3"/>
        <v>224</v>
      </c>
      <c r="N113" t="str">
        <v>Headquarters
9330 Zionsville Road 
Indianapolis, Indiana    46268
United States
Main Phone: 833 267 8382</v>
      </c>
      <c r="O113" t="str">
        <f t="shared" si="4"/>
        <v>0</v>
      </c>
      <c r="P113">
        <v>53882.6</v>
      </c>
      <c r="Q113">
        <v>52567.6</v>
      </c>
      <c r="R113">
        <v>3799</v>
      </c>
      <c r="S113" s="4">
        <f t="shared" si="5"/>
        <v>13.83722032113714</v>
      </c>
      <c r="T113">
        <v>17401</v>
      </c>
      <c r="U113" s="1">
        <v>0.21829999999999999</v>
      </c>
    </row>
    <row r="114" spans="1:21" x14ac:dyDescent="0.3">
      <c r="A114" t="s">
        <v>486</v>
      </c>
      <c r="B114" t="s">
        <v>487</v>
      </c>
      <c r="C114" t="s">
        <v>41</v>
      </c>
      <c r="D114" t="s">
        <v>488</v>
      </c>
      <c r="E114" t="s">
        <v>22</v>
      </c>
      <c r="F114" t="s">
        <v>80</v>
      </c>
      <c r="G114" s="6">
        <v>0</v>
      </c>
      <c r="H114" s="6">
        <v>8441</v>
      </c>
      <c r="J114" t="s">
        <v>489</v>
      </c>
      <c r="K114">
        <v>0</v>
      </c>
      <c r="L114">
        <v>1986</v>
      </c>
      <c r="M114">
        <f t="shared" si="3"/>
        <v>40</v>
      </c>
      <c r="N114" t="str">
        <v>Headquarters
1201 Wilson Blvd 
Arlington, Virginia    22209
United States
Main Phone: 202 346 6500</v>
      </c>
      <c r="O114" t="str">
        <f t="shared" si="4"/>
        <v>0</v>
      </c>
      <c r="P114">
        <v>18735.400000000001</v>
      </c>
      <c r="Q114">
        <v>18283.400000000001</v>
      </c>
      <c r="R114">
        <v>209</v>
      </c>
      <c r="S114" s="4">
        <f t="shared" si="5"/>
        <v>87.480382775119622</v>
      </c>
      <c r="T114">
        <v>3247</v>
      </c>
      <c r="U114" s="1">
        <v>6.4399999999999999E-2</v>
      </c>
    </row>
    <row r="115" spans="1:21" x14ac:dyDescent="0.3">
      <c r="A115" t="s">
        <v>490</v>
      </c>
      <c r="B115" t="s">
        <v>491</v>
      </c>
      <c r="C115" t="s">
        <v>41</v>
      </c>
      <c r="D115" t="s">
        <v>492</v>
      </c>
      <c r="E115" t="s">
        <v>22</v>
      </c>
      <c r="F115" t="s">
        <v>100</v>
      </c>
      <c r="G115" s="6">
        <v>0</v>
      </c>
      <c r="H115" s="6">
        <v>341000</v>
      </c>
      <c r="J115" t="s">
        <v>493</v>
      </c>
      <c r="K115">
        <v>0</v>
      </c>
      <c r="L115">
        <v>1976</v>
      </c>
      <c r="M115">
        <f t="shared" si="3"/>
        <v>50</v>
      </c>
      <c r="N115" t="str">
        <v>Headquarters
999 Lake Drive 
Issaquah, Washington    98027
United States
Main Phone: 425 313 8100</v>
      </c>
      <c r="O115" t="str">
        <f t="shared" si="4"/>
        <v>0</v>
      </c>
      <c r="P115">
        <v>448658.8</v>
      </c>
      <c r="Q115">
        <v>439647.8</v>
      </c>
      <c r="R115">
        <v>13125</v>
      </c>
      <c r="S115" s="4">
        <f t="shared" si="5"/>
        <v>33.496975238095239</v>
      </c>
      <c r="T115">
        <v>280391</v>
      </c>
      <c r="U115" s="1">
        <v>4.6800000000000001E-2</v>
      </c>
    </row>
    <row r="116" spans="1:21" x14ac:dyDescent="0.3">
      <c r="A116" t="s">
        <v>494</v>
      </c>
      <c r="B116" t="s">
        <v>495</v>
      </c>
      <c r="C116" t="s">
        <v>20</v>
      </c>
      <c r="D116" t="s">
        <v>496</v>
      </c>
      <c r="E116" t="s">
        <v>22</v>
      </c>
      <c r="F116" t="s">
        <v>153</v>
      </c>
      <c r="G116" s="6">
        <v>0</v>
      </c>
      <c r="H116" s="6">
        <v>915</v>
      </c>
      <c r="J116" t="s">
        <v>497</v>
      </c>
      <c r="K116">
        <v>0</v>
      </c>
      <c r="L116">
        <v>1989</v>
      </c>
      <c r="M116">
        <f t="shared" si="3"/>
        <v>37</v>
      </c>
      <c r="N116" t="str">
        <v>Headquarters
Three Memorial City Plaza
Suite 1400
840 Gessner Road 
Houston, Texas    77024
United States
Main Phone: 281 589 4600</v>
      </c>
      <c r="O116" t="str">
        <f t="shared" si="4"/>
        <v>0</v>
      </c>
      <c r="P116">
        <v>23226.2</v>
      </c>
      <c r="Q116">
        <v>27126.2</v>
      </c>
      <c r="R116">
        <v>4832</v>
      </c>
      <c r="S116" s="4">
        <f t="shared" si="5"/>
        <v>5.6138658940397352</v>
      </c>
      <c r="T116">
        <v>6991</v>
      </c>
      <c r="U116" s="1">
        <v>0.69120000000000004</v>
      </c>
    </row>
    <row r="117" spans="1:21" x14ac:dyDescent="0.3">
      <c r="A117" t="s">
        <v>498</v>
      </c>
      <c r="B117" t="s">
        <v>499</v>
      </c>
      <c r="C117" t="s">
        <v>41</v>
      </c>
      <c r="D117" t="s">
        <v>500</v>
      </c>
      <c r="E117" t="s">
        <v>22</v>
      </c>
      <c r="F117" t="s">
        <v>43</v>
      </c>
      <c r="G117" s="6">
        <v>0</v>
      </c>
      <c r="H117" s="6">
        <v>10410</v>
      </c>
      <c r="J117" t="s">
        <v>501</v>
      </c>
      <c r="K117">
        <v>0</v>
      </c>
      <c r="L117">
        <v>2011</v>
      </c>
      <c r="M117">
        <f t="shared" si="3"/>
        <v>15</v>
      </c>
      <c r="N117" t="str">
        <v>Headquarters
206 East 9th Street
Suite 1400 
Austin, Texas    78701
United States
Main Phone: 888 512 8906</v>
      </c>
      <c r="O117" t="str">
        <f t="shared" si="4"/>
        <v>0</v>
      </c>
      <c r="P117">
        <v>93775.6</v>
      </c>
      <c r="Q117">
        <v>89835.1</v>
      </c>
      <c r="R117">
        <v>-93.8</v>
      </c>
      <c r="S117" s="4">
        <f t="shared" si="5"/>
        <v>-957.73027718550111</v>
      </c>
      <c r="T117">
        <v>4565.2</v>
      </c>
      <c r="U117" s="1">
        <v>-2.0500000000000001E-2</v>
      </c>
    </row>
    <row r="118" spans="1:21" x14ac:dyDescent="0.3">
      <c r="A118" t="s">
        <v>502</v>
      </c>
      <c r="B118" t="s">
        <v>503</v>
      </c>
      <c r="C118" t="s">
        <v>20</v>
      </c>
      <c r="D118" t="s">
        <v>504</v>
      </c>
      <c r="E118" t="s">
        <v>22</v>
      </c>
      <c r="F118" t="s">
        <v>80</v>
      </c>
      <c r="G118" s="6">
        <v>0</v>
      </c>
      <c r="H118" s="6">
        <v>1500</v>
      </c>
      <c r="J118" t="s">
        <v>505</v>
      </c>
      <c r="K118">
        <v>0</v>
      </c>
      <c r="L118">
        <v>1994</v>
      </c>
      <c r="M118">
        <f t="shared" si="3"/>
        <v>32</v>
      </c>
      <c r="N118" t="str">
        <v>Headquarters
8020 Katy Freeway 
Houston, Texas    77024-1908
United States
Main Phone: 713 570 3000
Main Fax: 713 570 3100</v>
      </c>
      <c r="O118" t="str">
        <f t="shared" si="4"/>
        <v>0</v>
      </c>
      <c r="P118">
        <v>39045.699999999997</v>
      </c>
      <c r="Q118">
        <v>68512.7</v>
      </c>
      <c r="R118">
        <v>2776</v>
      </c>
      <c r="S118" s="4">
        <f t="shared" si="5"/>
        <v>24.680367435158502</v>
      </c>
      <c r="T118">
        <v>4264</v>
      </c>
      <c r="U118" s="1">
        <v>0.65100000000000002</v>
      </c>
    </row>
    <row r="119" spans="1:21" x14ac:dyDescent="0.3">
      <c r="A119" t="s">
        <v>506</v>
      </c>
      <c r="B119" t="s">
        <v>507</v>
      </c>
      <c r="C119" t="s">
        <v>41</v>
      </c>
      <c r="D119" t="s">
        <v>508</v>
      </c>
      <c r="E119" t="s">
        <v>22</v>
      </c>
      <c r="F119" t="s">
        <v>28</v>
      </c>
      <c r="G119" s="6">
        <v>0</v>
      </c>
      <c r="H119" s="6">
        <v>23000</v>
      </c>
      <c r="J119" t="s">
        <v>509</v>
      </c>
      <c r="K119">
        <v>0</v>
      </c>
      <c r="L119">
        <v>1978</v>
      </c>
      <c r="M119">
        <f t="shared" si="3"/>
        <v>48</v>
      </c>
      <c r="N119" t="str">
        <v>Headquarters
500 Water Street
15th Floor 
Jacksonville, Florida    32202
United States
Main Phone: 904 359 3200</v>
      </c>
      <c r="O119" t="str">
        <f t="shared" si="4"/>
        <v>0</v>
      </c>
      <c r="P119">
        <v>79384.5</v>
      </c>
      <c r="Q119">
        <v>98220.5</v>
      </c>
      <c r="R119">
        <v>6424</v>
      </c>
      <c r="S119" s="4">
        <f t="shared" si="5"/>
        <v>15.28961706102117</v>
      </c>
      <c r="T119">
        <v>14092</v>
      </c>
      <c r="U119" s="1">
        <v>0.45590000000000003</v>
      </c>
    </row>
    <row r="120" spans="1:21" x14ac:dyDescent="0.3">
      <c r="A120" t="s">
        <v>510</v>
      </c>
      <c r="B120" t="s">
        <v>511</v>
      </c>
      <c r="C120" t="s">
        <v>20</v>
      </c>
      <c r="D120" t="s">
        <v>512</v>
      </c>
      <c r="E120" t="s">
        <v>22</v>
      </c>
      <c r="F120" t="s">
        <v>28</v>
      </c>
      <c r="G120" s="6">
        <v>0</v>
      </c>
      <c r="H120" s="6">
        <v>67400</v>
      </c>
      <c r="I120" t="s">
        <v>513</v>
      </c>
      <c r="J120" t="s">
        <v>513</v>
      </c>
      <c r="K120">
        <v>1</v>
      </c>
      <c r="L120">
        <v>1919</v>
      </c>
      <c r="M120">
        <f t="shared" si="3"/>
        <v>107</v>
      </c>
      <c r="N120" t="str">
        <v>Headquarters
500 Jackson Street
Box 3005 
Columbus, Indiana    47202-3005
United States
Main Phone: 812 377 5000</v>
      </c>
      <c r="O120" t="str">
        <f t="shared" si="4"/>
        <v>0</v>
      </c>
      <c r="P120">
        <v>80670.7</v>
      </c>
      <c r="Q120">
        <v>86234.7</v>
      </c>
      <c r="R120">
        <v>5190</v>
      </c>
      <c r="S120" s="4">
        <f t="shared" si="5"/>
        <v>16.615549132947976</v>
      </c>
      <c r="T120">
        <v>33670</v>
      </c>
      <c r="U120" s="1">
        <v>0.15409999999999999</v>
      </c>
    </row>
    <row r="121" spans="1:21" x14ac:dyDescent="0.3">
      <c r="A121" t="s">
        <v>514</v>
      </c>
      <c r="B121" t="s">
        <v>515</v>
      </c>
      <c r="C121" t="s">
        <v>20</v>
      </c>
      <c r="D121" t="s">
        <v>516</v>
      </c>
      <c r="E121" t="s">
        <v>22</v>
      </c>
      <c r="F121" t="s">
        <v>33</v>
      </c>
      <c r="G121" s="6">
        <v>0</v>
      </c>
      <c r="H121" s="6">
        <v>259500</v>
      </c>
      <c r="J121" t="s">
        <v>517</v>
      </c>
      <c r="K121">
        <v>0</v>
      </c>
      <c r="L121">
        <v>1963</v>
      </c>
      <c r="M121">
        <f t="shared" si="3"/>
        <v>63</v>
      </c>
      <c r="N121" t="str">
        <v>Headquarters
One CVS Drive 
Woonsocket, Rhode Island    02895
United States
Main Phone: 401 765 1500
Main Fax: 401 652 0893</v>
      </c>
      <c r="O121" t="str">
        <f t="shared" si="4"/>
        <v>0</v>
      </c>
      <c r="P121">
        <v>101649.7</v>
      </c>
      <c r="Q121">
        <v>171169.7</v>
      </c>
      <c r="R121">
        <v>14625</v>
      </c>
      <c r="S121" s="4">
        <f t="shared" si="5"/>
        <v>11.703911111111111</v>
      </c>
      <c r="T121">
        <v>399834</v>
      </c>
      <c r="U121" s="1">
        <v>3.6600000000000001E-2</v>
      </c>
    </row>
    <row r="122" spans="1:21" x14ac:dyDescent="0.3">
      <c r="A122" t="s">
        <v>518</v>
      </c>
      <c r="B122" t="s">
        <v>519</v>
      </c>
      <c r="C122" t="s">
        <v>20</v>
      </c>
      <c r="D122" t="s">
        <v>520</v>
      </c>
      <c r="E122" t="s">
        <v>22</v>
      </c>
      <c r="F122" t="s">
        <v>67</v>
      </c>
      <c r="G122" s="6">
        <v>0</v>
      </c>
      <c r="H122" s="6">
        <v>14341</v>
      </c>
      <c r="J122" t="s">
        <v>521</v>
      </c>
      <c r="K122">
        <v>0</v>
      </c>
      <c r="L122">
        <v>1978</v>
      </c>
      <c r="M122">
        <f t="shared" si="3"/>
        <v>48</v>
      </c>
      <c r="N122" t="str">
        <v>Headquarters
1341 Horton Circle 
Arlington, Texas    76011
United States
Main Phone: 817 390 8200</v>
      </c>
      <c r="O122" t="str">
        <f t="shared" si="4"/>
        <v>0</v>
      </c>
      <c r="P122">
        <v>46465.5</v>
      </c>
      <c r="Q122">
        <v>50135.3</v>
      </c>
      <c r="R122">
        <v>4466.1000000000004</v>
      </c>
      <c r="S122" s="4">
        <f t="shared" si="5"/>
        <v>11.22574505720875</v>
      </c>
      <c r="T122">
        <v>33524.300000000003</v>
      </c>
      <c r="U122" s="1">
        <v>0.13320000000000001</v>
      </c>
    </row>
    <row r="123" spans="1:21" x14ac:dyDescent="0.3">
      <c r="A123" t="s">
        <v>522</v>
      </c>
      <c r="B123" t="s">
        <v>523</v>
      </c>
      <c r="C123" t="s">
        <v>20</v>
      </c>
      <c r="D123" t="s">
        <v>524</v>
      </c>
      <c r="E123" t="s">
        <v>22</v>
      </c>
      <c r="F123" t="s">
        <v>33</v>
      </c>
      <c r="G123" s="6">
        <v>0</v>
      </c>
      <c r="H123" s="6">
        <v>59000</v>
      </c>
      <c r="J123" t="s">
        <v>525</v>
      </c>
      <c r="K123">
        <v>0</v>
      </c>
      <c r="L123">
        <v>1969</v>
      </c>
      <c r="M123">
        <f t="shared" si="3"/>
        <v>57</v>
      </c>
      <c r="N123" t="str">
        <v>Headquarters
2200 Pennsylvania Avenue N.W.
Suite 800W 
Washington, District Of Columbia    20037-1701
United States
Main Phone: 202 828 0850
Main Fax: 202 828 0860</v>
      </c>
      <c r="O123" t="str">
        <f t="shared" si="4"/>
        <v>0</v>
      </c>
      <c r="P123">
        <v>148951.79999999999</v>
      </c>
      <c r="Q123">
        <v>164039.79999999999</v>
      </c>
      <c r="R123">
        <v>7835</v>
      </c>
      <c r="S123" s="4">
        <f t="shared" si="5"/>
        <v>20.936796426292275</v>
      </c>
      <c r="T123">
        <v>24568</v>
      </c>
      <c r="U123" s="1">
        <v>0.31890000000000002</v>
      </c>
    </row>
    <row r="124" spans="1:21" x14ac:dyDescent="0.3">
      <c r="A124" t="s">
        <v>526</v>
      </c>
      <c r="B124" t="s">
        <v>527</v>
      </c>
      <c r="C124" t="s">
        <v>20</v>
      </c>
      <c r="D124" t="s">
        <v>528</v>
      </c>
      <c r="E124" t="s">
        <v>22</v>
      </c>
      <c r="F124" t="s">
        <v>67</v>
      </c>
      <c r="G124" s="6">
        <v>0</v>
      </c>
      <c r="H124" s="6">
        <v>197924</v>
      </c>
      <c r="J124" t="s">
        <v>529</v>
      </c>
      <c r="K124">
        <v>0</v>
      </c>
      <c r="L124">
        <v>1938</v>
      </c>
      <c r="M124">
        <f t="shared" si="3"/>
        <v>88</v>
      </c>
      <c r="N124" t="str">
        <v>Headquarters
1000 Darden Center Drive 
Orlando, Florida    32837
United States
Main Phone: 407 245 4000</v>
      </c>
      <c r="O124" t="str">
        <f t="shared" si="4"/>
        <v>0</v>
      </c>
      <c r="P124">
        <v>24622.5</v>
      </c>
      <c r="Q124">
        <v>32746.400000000001</v>
      </c>
      <c r="R124">
        <v>1987.7</v>
      </c>
      <c r="S124" s="4">
        <f t="shared" si="5"/>
        <v>16.474518287467927</v>
      </c>
      <c r="T124">
        <v>12576.5</v>
      </c>
      <c r="U124" s="1">
        <v>0.158</v>
      </c>
    </row>
    <row r="125" spans="1:21" x14ac:dyDescent="0.3">
      <c r="A125" t="s">
        <v>530</v>
      </c>
      <c r="B125" t="s">
        <v>531</v>
      </c>
      <c r="C125" t="s">
        <v>41</v>
      </c>
      <c r="D125" t="s">
        <v>532</v>
      </c>
      <c r="E125" t="s">
        <v>22</v>
      </c>
      <c r="F125" t="s">
        <v>43</v>
      </c>
      <c r="G125" s="6">
        <v>0</v>
      </c>
      <c r="H125" s="6">
        <v>8100</v>
      </c>
      <c r="J125" t="s">
        <v>533</v>
      </c>
      <c r="K125">
        <v>0</v>
      </c>
      <c r="L125">
        <v>2010</v>
      </c>
      <c r="M125">
        <f t="shared" si="3"/>
        <v>16</v>
      </c>
      <c r="N125" t="str">
        <v>Headquarters
620 8th Avenue
45th Floor 
New York, New York    10018
United States
Main Phone: 866 329 4466</v>
      </c>
      <c r="O125" t="str">
        <f t="shared" si="4"/>
        <v>0</v>
      </c>
      <c r="P125">
        <v>39617.199999999997</v>
      </c>
      <c r="Q125">
        <v>36421.4</v>
      </c>
      <c r="R125">
        <v>7.53</v>
      </c>
      <c r="S125" s="4">
        <f t="shared" si="5"/>
        <v>4836.8393094289513</v>
      </c>
      <c r="T125">
        <v>3427.2</v>
      </c>
      <c r="U125" s="1">
        <v>2.2000000000000001E-3</v>
      </c>
    </row>
    <row r="126" spans="1:21" x14ac:dyDescent="0.3">
      <c r="A126" t="s">
        <v>534</v>
      </c>
      <c r="B126" t="s">
        <v>535</v>
      </c>
      <c r="C126" t="s">
        <v>20</v>
      </c>
      <c r="D126" t="s">
        <v>536</v>
      </c>
      <c r="E126" t="s">
        <v>22</v>
      </c>
      <c r="F126" t="s">
        <v>33</v>
      </c>
      <c r="G126" s="6">
        <v>0</v>
      </c>
      <c r="H126" s="6">
        <v>78000</v>
      </c>
      <c r="J126" t="s">
        <v>537</v>
      </c>
      <c r="K126">
        <v>0</v>
      </c>
      <c r="L126">
        <v>1994</v>
      </c>
      <c r="M126">
        <f t="shared" si="3"/>
        <v>32</v>
      </c>
      <c r="N126" t="str">
        <v>Headquarters
2000 16th Street 
Denver, Colorado    80202
United States
Main Phone: 720 631 2100</v>
      </c>
      <c r="O126" t="str">
        <f t="shared" si="4"/>
        <v>0</v>
      </c>
      <c r="P126">
        <v>10437.1</v>
      </c>
      <c r="Q126">
        <v>24420.2</v>
      </c>
      <c r="R126">
        <v>2751.2</v>
      </c>
      <c r="S126" s="4">
        <f t="shared" si="5"/>
        <v>8.8761994765920331</v>
      </c>
      <c r="T126">
        <v>13643.1</v>
      </c>
      <c r="U126" s="1">
        <v>0.20169999999999999</v>
      </c>
    </row>
    <row r="127" spans="1:21" x14ac:dyDescent="0.3">
      <c r="A127" t="s">
        <v>538</v>
      </c>
      <c r="B127" t="s">
        <v>539</v>
      </c>
      <c r="C127" t="s">
        <v>20</v>
      </c>
      <c r="D127" t="s">
        <v>540</v>
      </c>
      <c r="E127" t="s">
        <v>22</v>
      </c>
      <c r="F127" t="s">
        <v>67</v>
      </c>
      <c r="G127" s="6">
        <v>0</v>
      </c>
      <c r="H127" s="6">
        <v>5500</v>
      </c>
      <c r="J127" t="s">
        <v>541</v>
      </c>
      <c r="K127">
        <v>0</v>
      </c>
      <c r="L127">
        <v>1973</v>
      </c>
      <c r="M127">
        <f t="shared" si="3"/>
        <v>53</v>
      </c>
      <c r="N127" t="str">
        <v>Headquarters
250 Coromar Drive 
Goleta, California    93117
United States
Main Phone: 805 967 7611</v>
      </c>
      <c r="O127" t="str">
        <f t="shared" si="4"/>
        <v>1</v>
      </c>
      <c r="P127">
        <v>16646.5</v>
      </c>
      <c r="Q127">
        <v>14902.6</v>
      </c>
      <c r="R127">
        <v>1360</v>
      </c>
      <c r="S127" s="4">
        <f t="shared" si="5"/>
        <v>10.95779411764706</v>
      </c>
      <c r="T127">
        <v>5374.7</v>
      </c>
      <c r="U127" s="1">
        <v>0.253</v>
      </c>
    </row>
    <row r="128" spans="1:21" x14ac:dyDescent="0.3">
      <c r="A128" t="s">
        <v>542</v>
      </c>
      <c r="B128" t="s">
        <v>543</v>
      </c>
      <c r="C128" t="s">
        <v>20</v>
      </c>
      <c r="D128" t="s">
        <v>544</v>
      </c>
      <c r="E128" t="s">
        <v>22</v>
      </c>
      <c r="F128" t="s">
        <v>28</v>
      </c>
      <c r="G128" s="6">
        <v>0</v>
      </c>
      <c r="H128" s="6">
        <v>73100</v>
      </c>
      <c r="J128" t="s">
        <v>545</v>
      </c>
      <c r="K128">
        <v>0</v>
      </c>
      <c r="L128">
        <v>1837</v>
      </c>
      <c r="M128">
        <f t="shared" si="3"/>
        <v>189</v>
      </c>
      <c r="N128" t="str">
        <v>Headquarters
One John Deere Place 
Moline, Illinois    61265
United States
Main Phone: 309 765 8000</v>
      </c>
      <c r="O128" t="str">
        <f t="shared" si="4"/>
        <v>0</v>
      </c>
      <c r="P128">
        <v>170089.3</v>
      </c>
      <c r="Q128">
        <v>228051.3</v>
      </c>
      <c r="R128">
        <v>8588</v>
      </c>
      <c r="S128" s="4">
        <f t="shared" si="5"/>
        <v>26.554646017699113</v>
      </c>
      <c r="T128">
        <v>46731</v>
      </c>
      <c r="U128" s="1">
        <v>0.18379999999999999</v>
      </c>
    </row>
    <row r="129" spans="1:21" x14ac:dyDescent="0.3">
      <c r="A129" t="s">
        <v>546</v>
      </c>
      <c r="B129" t="s">
        <v>547</v>
      </c>
      <c r="C129" t="s">
        <v>20</v>
      </c>
      <c r="D129" t="s">
        <v>548</v>
      </c>
      <c r="E129" t="s">
        <v>22</v>
      </c>
      <c r="F129" t="s">
        <v>43</v>
      </c>
      <c r="G129" s="6">
        <v>0</v>
      </c>
      <c r="H129" s="6">
        <v>108000</v>
      </c>
      <c r="J129" t="s">
        <v>549</v>
      </c>
      <c r="K129">
        <v>0</v>
      </c>
      <c r="L129">
        <v>1984</v>
      </c>
      <c r="M129">
        <f t="shared" si="3"/>
        <v>42</v>
      </c>
      <c r="N129" t="str">
        <v>Headquarters
One Dell Way 
Round Rock, Texas    78682
United States
Main Phone: 800 289 3355</v>
      </c>
      <c r="O129" t="str">
        <f t="shared" si="4"/>
        <v>0</v>
      </c>
      <c r="P129">
        <v>98131.1</v>
      </c>
      <c r="Q129">
        <v>118106.1</v>
      </c>
      <c r="R129">
        <v>8646</v>
      </c>
      <c r="S129" s="4">
        <f t="shared" si="5"/>
        <v>13.660201249132548</v>
      </c>
      <c r="T129">
        <v>113538</v>
      </c>
      <c r="U129" s="1">
        <v>7.6200000000000004E-2</v>
      </c>
    </row>
    <row r="130" spans="1:21" x14ac:dyDescent="0.3">
      <c r="A130" t="s">
        <v>550</v>
      </c>
      <c r="B130" t="s">
        <v>551</v>
      </c>
      <c r="C130" t="s">
        <v>20</v>
      </c>
      <c r="D130" t="s">
        <v>552</v>
      </c>
      <c r="E130" t="s">
        <v>22</v>
      </c>
      <c r="F130" t="s">
        <v>28</v>
      </c>
      <c r="G130" s="6">
        <v>0</v>
      </c>
      <c r="H130" s="6">
        <v>103000</v>
      </c>
      <c r="J130" t="s">
        <v>553</v>
      </c>
      <c r="K130">
        <v>0</v>
      </c>
      <c r="L130">
        <v>1924</v>
      </c>
      <c r="M130">
        <f t="shared" si="3"/>
        <v>102</v>
      </c>
      <c r="N130" t="str">
        <v>Headquarters
1030 Delta Boulevard 
Atlanta, Georgia    30354-1989
United States</v>
      </c>
      <c r="O130" t="str">
        <f t="shared" si="4"/>
        <v>0</v>
      </c>
      <c r="P130">
        <v>42677.2</v>
      </c>
      <c r="Q130">
        <v>59741.2</v>
      </c>
      <c r="R130">
        <v>7772</v>
      </c>
      <c r="S130" s="4">
        <f t="shared" si="5"/>
        <v>7.6867215645908384</v>
      </c>
      <c r="T130">
        <v>63364</v>
      </c>
      <c r="U130" s="1">
        <v>0.1227</v>
      </c>
    </row>
    <row r="131" spans="1:21" x14ac:dyDescent="0.3">
      <c r="A131" t="s">
        <v>554</v>
      </c>
      <c r="B131" t="s">
        <v>555</v>
      </c>
      <c r="C131" t="s">
        <v>20</v>
      </c>
      <c r="D131" t="s">
        <v>556</v>
      </c>
      <c r="E131" t="s">
        <v>22</v>
      </c>
      <c r="F131" t="s">
        <v>153</v>
      </c>
      <c r="G131" s="6">
        <v>0</v>
      </c>
      <c r="H131" s="6">
        <v>2200</v>
      </c>
      <c r="J131" t="s">
        <v>557</v>
      </c>
      <c r="K131">
        <v>0</v>
      </c>
      <c r="L131">
        <v>1971</v>
      </c>
      <c r="M131">
        <f t="shared" ref="M131:M194" si="6">2026-L131</f>
        <v>55</v>
      </c>
      <c r="N131" t="str">
        <v>Headquarters
333 West Sheridan Avenue 
Oklahoma City, Oklahoma    73102-5015
United States
Main Phone: 405 235 3611</v>
      </c>
      <c r="O131" t="str">
        <f t="shared" ref="O131:O194" si="7">IF(ISNUMBER(SEARCH("california",N131)),"1","0")</f>
        <v>0</v>
      </c>
      <c r="P131">
        <v>26985.200000000001</v>
      </c>
      <c r="Q131">
        <v>34289.199999999997</v>
      </c>
      <c r="R131">
        <v>7476</v>
      </c>
      <c r="S131" s="4">
        <f t="shared" ref="S131:S194" si="8">Q131/R131</f>
        <v>4.5865703584804702</v>
      </c>
      <c r="T131">
        <v>16038</v>
      </c>
      <c r="U131" s="1">
        <v>0.46610000000000001</v>
      </c>
    </row>
    <row r="132" spans="1:21" x14ac:dyDescent="0.3">
      <c r="A132" t="s">
        <v>558</v>
      </c>
      <c r="B132" t="s">
        <v>559</v>
      </c>
      <c r="C132" t="s">
        <v>41</v>
      </c>
      <c r="D132" t="s">
        <v>560</v>
      </c>
      <c r="E132" t="s">
        <v>22</v>
      </c>
      <c r="F132" t="s">
        <v>33</v>
      </c>
      <c r="G132" s="6">
        <v>0</v>
      </c>
      <c r="H132" s="6">
        <v>11050</v>
      </c>
      <c r="J132" t="s">
        <v>561</v>
      </c>
      <c r="K132">
        <v>0</v>
      </c>
      <c r="L132">
        <v>1999</v>
      </c>
      <c r="M132">
        <f t="shared" si="6"/>
        <v>27</v>
      </c>
      <c r="N132" t="str">
        <v>Headquarters
6340 Sequence Drive 
San Diego, California    92121
United States
Main Phone: 858 200 0200</v>
      </c>
      <c r="O132" t="str">
        <f t="shared" si="7"/>
        <v>1</v>
      </c>
      <c r="P132">
        <v>28260.6</v>
      </c>
      <c r="Q132">
        <v>27658.3</v>
      </c>
      <c r="R132">
        <v>1163.5999999999999</v>
      </c>
      <c r="S132" s="4">
        <f t="shared" si="8"/>
        <v>23.769594362323822</v>
      </c>
      <c r="T132">
        <v>4662</v>
      </c>
      <c r="U132" s="1">
        <v>0.24959999999999999</v>
      </c>
    </row>
    <row r="133" spans="1:21" x14ac:dyDescent="0.3">
      <c r="A133" t="s">
        <v>562</v>
      </c>
      <c r="B133" t="s">
        <v>563</v>
      </c>
      <c r="C133" t="s">
        <v>41</v>
      </c>
      <c r="D133" t="s">
        <v>564</v>
      </c>
      <c r="E133" t="s">
        <v>22</v>
      </c>
      <c r="F133" t="s">
        <v>153</v>
      </c>
      <c r="G133" s="6">
        <v>0</v>
      </c>
      <c r="H133" s="6">
        <v>1762</v>
      </c>
      <c r="J133" t="s">
        <v>565</v>
      </c>
      <c r="K133">
        <v>0</v>
      </c>
      <c r="L133">
        <v>2007</v>
      </c>
      <c r="M133">
        <f t="shared" si="6"/>
        <v>19</v>
      </c>
      <c r="N133" t="str">
        <v>Headquarters
Fasken Center
Suite 100
500 West Texas Ave. 
Midland, Texas    79701
United States
Main Phone: 432 221 7400</v>
      </c>
      <c r="O133" t="str">
        <f t="shared" si="7"/>
        <v>0</v>
      </c>
      <c r="P133">
        <v>49104.3</v>
      </c>
      <c r="Q133">
        <v>69511.3</v>
      </c>
      <c r="R133">
        <v>10374</v>
      </c>
      <c r="S133" s="4">
        <f t="shared" si="8"/>
        <v>6.7005301715828036</v>
      </c>
      <c r="T133">
        <v>14295</v>
      </c>
      <c r="U133" s="1">
        <v>0.72570000000000001</v>
      </c>
    </row>
    <row r="134" spans="1:21" x14ac:dyDescent="0.3">
      <c r="A134" t="s">
        <v>566</v>
      </c>
      <c r="B134" t="s">
        <v>567</v>
      </c>
      <c r="C134" t="s">
        <v>20</v>
      </c>
      <c r="D134" t="s">
        <v>568</v>
      </c>
      <c r="E134" t="s">
        <v>22</v>
      </c>
      <c r="F134" t="s">
        <v>80</v>
      </c>
      <c r="G134" s="6">
        <v>0</v>
      </c>
      <c r="H134" s="6">
        <v>4282</v>
      </c>
      <c r="J134" t="s">
        <v>569</v>
      </c>
      <c r="K134">
        <v>0</v>
      </c>
      <c r="L134">
        <v>2004</v>
      </c>
      <c r="M134">
        <f t="shared" si="6"/>
        <v>22</v>
      </c>
      <c r="N134" t="str">
        <v>Headquarters
2323 Bryan Street
Suite 1800 
Dallas, Texas    75201
United States
Main Phone: 214 231 1350
Main Fax: 415 738 6501
Other Phone: 415 275 5344</v>
      </c>
      <c r="O134" t="str">
        <f t="shared" si="7"/>
        <v>0</v>
      </c>
      <c r="P134">
        <v>60888.7</v>
      </c>
      <c r="Q134">
        <v>80341</v>
      </c>
      <c r="R134">
        <v>2779.6</v>
      </c>
      <c r="S134" s="4">
        <f t="shared" si="8"/>
        <v>28.903799107785293</v>
      </c>
      <c r="T134">
        <v>6080.7</v>
      </c>
      <c r="U134" s="1">
        <v>0.45710000000000001</v>
      </c>
    </row>
    <row r="135" spans="1:21" x14ac:dyDescent="0.3">
      <c r="A135" t="s">
        <v>570</v>
      </c>
      <c r="B135" t="s">
        <v>571</v>
      </c>
      <c r="C135" t="s">
        <v>20</v>
      </c>
      <c r="D135" t="s">
        <v>572</v>
      </c>
      <c r="E135" t="s">
        <v>22</v>
      </c>
      <c r="F135" t="s">
        <v>100</v>
      </c>
      <c r="G135" s="6">
        <v>0</v>
      </c>
      <c r="H135" s="6">
        <v>194200</v>
      </c>
      <c r="J135" t="s">
        <v>573</v>
      </c>
      <c r="K135">
        <v>0</v>
      </c>
      <c r="L135">
        <v>1939</v>
      </c>
      <c r="M135">
        <f t="shared" si="6"/>
        <v>87</v>
      </c>
      <c r="N135" t="str">
        <v>Headquarters
100 Mission Ridge 
Goodlettsville, Tennessee    37072
United States
Main Phone: 615 855 4000</v>
      </c>
      <c r="O135" t="str">
        <f t="shared" si="7"/>
        <v>0</v>
      </c>
      <c r="P135">
        <v>34391.4</v>
      </c>
      <c r="Q135">
        <v>49659.199999999997</v>
      </c>
      <c r="R135">
        <v>3147.9</v>
      </c>
      <c r="S135" s="4">
        <f t="shared" si="8"/>
        <v>15.77534229168652</v>
      </c>
      <c r="T135">
        <v>42117.7</v>
      </c>
      <c r="U135" s="1">
        <v>7.4700000000000003E-2</v>
      </c>
    </row>
    <row r="136" spans="1:21" x14ac:dyDescent="0.3">
      <c r="A136" t="s">
        <v>574</v>
      </c>
      <c r="B136" t="s">
        <v>575</v>
      </c>
      <c r="C136" t="s">
        <v>41</v>
      </c>
      <c r="D136" t="s">
        <v>576</v>
      </c>
      <c r="E136" t="s">
        <v>22</v>
      </c>
      <c r="F136" t="s">
        <v>100</v>
      </c>
      <c r="G136" s="6">
        <v>0</v>
      </c>
      <c r="H136" s="6">
        <v>139572</v>
      </c>
      <c r="J136" t="s">
        <v>577</v>
      </c>
      <c r="K136">
        <v>0</v>
      </c>
      <c r="L136">
        <v>1986</v>
      </c>
      <c r="M136">
        <f t="shared" si="6"/>
        <v>40</v>
      </c>
      <c r="N136" t="str">
        <v>Headquarters
500 Volvo Parkway 
Chesapeake, Virginia    23320
United States
Main Phone: 757 321 5000</v>
      </c>
      <c r="O136" t="str">
        <f t="shared" si="7"/>
        <v>0</v>
      </c>
      <c r="P136">
        <v>25151</v>
      </c>
      <c r="Q136">
        <v>32215.1</v>
      </c>
      <c r="R136">
        <v>2139.6999999999998</v>
      </c>
      <c r="S136" s="4">
        <f t="shared" si="8"/>
        <v>15.055895686311166</v>
      </c>
      <c r="T136">
        <v>18960.900000000001</v>
      </c>
      <c r="U136" s="1">
        <v>0.1128</v>
      </c>
    </row>
    <row r="137" spans="1:21" x14ac:dyDescent="0.3">
      <c r="A137" t="s">
        <v>578</v>
      </c>
      <c r="B137" t="s">
        <v>579</v>
      </c>
      <c r="C137" t="s">
        <v>20</v>
      </c>
      <c r="D137" t="s">
        <v>580</v>
      </c>
      <c r="E137" t="s">
        <v>22</v>
      </c>
      <c r="F137" t="s">
        <v>89</v>
      </c>
      <c r="G137" s="6">
        <v>0</v>
      </c>
      <c r="H137" s="6">
        <v>15200</v>
      </c>
      <c r="J137" t="s">
        <v>581</v>
      </c>
      <c r="K137">
        <v>0</v>
      </c>
      <c r="L137">
        <v>1983</v>
      </c>
      <c r="M137">
        <f t="shared" si="6"/>
        <v>43</v>
      </c>
      <c r="N137" t="str">
        <v>Headquarters
600 East Canal Street 
Richmond, Virginia    23219
United States
Main Phone: 804 819 2284</v>
      </c>
      <c r="O137" t="str">
        <f t="shared" si="7"/>
        <v>0</v>
      </c>
      <c r="P137">
        <v>55486.5</v>
      </c>
      <c r="Q137">
        <v>110703.5</v>
      </c>
      <c r="R137">
        <v>8111</v>
      </c>
      <c r="S137" s="4">
        <f t="shared" si="8"/>
        <v>13.648563678954506</v>
      </c>
      <c r="T137">
        <v>16506</v>
      </c>
      <c r="U137" s="1">
        <v>0.4914</v>
      </c>
    </row>
    <row r="138" spans="1:21" x14ac:dyDescent="0.3">
      <c r="A138" t="s">
        <v>582</v>
      </c>
      <c r="B138" t="s">
        <v>583</v>
      </c>
      <c r="C138" t="s">
        <v>41</v>
      </c>
      <c r="D138" t="s">
        <v>584</v>
      </c>
      <c r="E138" t="s">
        <v>22</v>
      </c>
      <c r="F138" t="s">
        <v>67</v>
      </c>
      <c r="G138" s="6">
        <v>0</v>
      </c>
      <c r="H138" s="6">
        <v>8200</v>
      </c>
      <c r="J138" t="s">
        <v>585</v>
      </c>
      <c r="K138">
        <v>0</v>
      </c>
      <c r="L138">
        <v>1960</v>
      </c>
      <c r="M138">
        <f t="shared" si="6"/>
        <v>66</v>
      </c>
      <c r="N138" t="str">
        <v>Headquarters
30 Frank Lloyd Wright Drive 
Ann Arbor, Michigan    48105
United States
Main Phone: 734 930 3030</v>
      </c>
      <c r="O138" t="str">
        <f t="shared" si="7"/>
        <v>0</v>
      </c>
      <c r="P138">
        <v>13536</v>
      </c>
      <c r="Q138">
        <v>18458.599999999999</v>
      </c>
      <c r="R138">
        <v>1009.2</v>
      </c>
      <c r="S138" s="4">
        <f t="shared" si="8"/>
        <v>18.290328973444311</v>
      </c>
      <c r="T138">
        <v>4940</v>
      </c>
      <c r="U138" s="1">
        <v>0.20430000000000001</v>
      </c>
    </row>
    <row r="139" spans="1:21" x14ac:dyDescent="0.3">
      <c r="A139" t="s">
        <v>586</v>
      </c>
      <c r="B139" t="s">
        <v>587</v>
      </c>
      <c r="C139" t="s">
        <v>41</v>
      </c>
      <c r="D139" t="s">
        <v>588</v>
      </c>
      <c r="E139" t="s">
        <v>22</v>
      </c>
      <c r="F139" t="s">
        <v>67</v>
      </c>
      <c r="G139" s="6">
        <v>0</v>
      </c>
      <c r="H139" s="6">
        <v>31400</v>
      </c>
      <c r="J139" t="s">
        <v>589</v>
      </c>
      <c r="K139">
        <v>0</v>
      </c>
      <c r="L139">
        <v>2013</v>
      </c>
      <c r="M139">
        <f t="shared" si="6"/>
        <v>13</v>
      </c>
      <c r="N139" t="str">
        <v>Headquarters
South Tower
8th Floor
303 2nd Street 
San Francisco, California    94107
United States
Main Phone: 650 487 3970</v>
      </c>
      <c r="O139" t="str">
        <f t="shared" si="7"/>
        <v>1</v>
      </c>
      <c r="P139">
        <v>76663.199999999997</v>
      </c>
      <c r="Q139">
        <v>74460.2</v>
      </c>
      <c r="R139">
        <v>1218</v>
      </c>
      <c r="S139" s="4">
        <f t="shared" si="8"/>
        <v>61.133169129720848</v>
      </c>
      <c r="T139">
        <v>13717</v>
      </c>
      <c r="U139" s="1">
        <v>8.8800000000000004E-2</v>
      </c>
    </row>
    <row r="140" spans="1:21" x14ac:dyDescent="0.3">
      <c r="A140" t="s">
        <v>590</v>
      </c>
      <c r="B140" t="s">
        <v>591</v>
      </c>
      <c r="C140" t="s">
        <v>20</v>
      </c>
      <c r="D140" t="s">
        <v>592</v>
      </c>
      <c r="E140" t="s">
        <v>22</v>
      </c>
      <c r="F140" t="s">
        <v>28</v>
      </c>
      <c r="G140" s="6">
        <v>0</v>
      </c>
      <c r="H140" s="6">
        <v>24000</v>
      </c>
      <c r="J140" t="s">
        <v>593</v>
      </c>
      <c r="K140">
        <v>0</v>
      </c>
      <c r="L140">
        <v>1947</v>
      </c>
      <c r="M140">
        <f t="shared" si="6"/>
        <v>79</v>
      </c>
      <c r="N140" t="str">
        <v>Headquarters
3005 Highland Parkway 
Downers Grove, Illinois    60515
United States
Main Phone: 630 541 1540
Main Fax: 630 743 2671</v>
      </c>
      <c r="O140" t="str">
        <f t="shared" si="7"/>
        <v>0</v>
      </c>
      <c r="P140">
        <v>30412.400000000001</v>
      </c>
      <c r="Q140">
        <v>32320.1</v>
      </c>
      <c r="R140">
        <v>1824.4</v>
      </c>
      <c r="S140" s="4">
        <f t="shared" si="8"/>
        <v>17.715468099101074</v>
      </c>
      <c r="T140">
        <v>8092.6</v>
      </c>
      <c r="U140" s="1">
        <v>0.22539999999999999</v>
      </c>
    </row>
    <row r="141" spans="1:21" x14ac:dyDescent="0.3">
      <c r="A141" t="s">
        <v>594</v>
      </c>
      <c r="B141" t="s">
        <v>595</v>
      </c>
      <c r="C141" t="s">
        <v>20</v>
      </c>
      <c r="D141" t="s">
        <v>596</v>
      </c>
      <c r="E141" t="s">
        <v>22</v>
      </c>
      <c r="F141" t="s">
        <v>62</v>
      </c>
      <c r="G141" s="6">
        <v>0</v>
      </c>
      <c r="H141" s="6">
        <v>34600</v>
      </c>
      <c r="J141" t="s">
        <v>597</v>
      </c>
      <c r="K141">
        <v>0</v>
      </c>
      <c r="L141">
        <v>1897</v>
      </c>
      <c r="M141">
        <f t="shared" si="6"/>
        <v>129</v>
      </c>
      <c r="N141" t="str">
        <v>Headquarters
2211 H.H. Dow Way 
Midland, Michigan    48674
United States
Main Phone: 989 636 1000
Main Fax: 989 832 1456</v>
      </c>
      <c r="O141" t="str">
        <f t="shared" si="7"/>
        <v>0</v>
      </c>
      <c r="P141">
        <v>22113.9</v>
      </c>
      <c r="Q141">
        <v>38959.9</v>
      </c>
      <c r="R141">
        <v>2703</v>
      </c>
      <c r="S141" s="4">
        <f t="shared" si="8"/>
        <v>14.413577506474288</v>
      </c>
      <c r="T141">
        <v>39968</v>
      </c>
      <c r="U141" s="1">
        <v>6.7599999999999993E-2</v>
      </c>
    </row>
    <row r="142" spans="1:21" x14ac:dyDescent="0.3">
      <c r="A142" t="s">
        <v>598</v>
      </c>
      <c r="B142" t="s">
        <v>599</v>
      </c>
      <c r="C142" t="s">
        <v>20</v>
      </c>
      <c r="D142" t="s">
        <v>600</v>
      </c>
      <c r="E142" t="s">
        <v>22</v>
      </c>
      <c r="F142" t="s">
        <v>89</v>
      </c>
      <c r="G142" s="6">
        <v>0</v>
      </c>
      <c r="H142" s="6">
        <v>9650</v>
      </c>
      <c r="J142" t="s">
        <v>601</v>
      </c>
      <c r="K142">
        <v>0</v>
      </c>
      <c r="L142">
        <v>1849</v>
      </c>
      <c r="M142">
        <f t="shared" si="6"/>
        <v>177</v>
      </c>
      <c r="N142" t="str">
        <v>Headquarters
One Energy Plaza 
Detroit, Michigan    48226-1221
United States
Main Phone: 313 235 4000</v>
      </c>
      <c r="O142" t="str">
        <f t="shared" si="7"/>
        <v>0</v>
      </c>
      <c r="P142">
        <v>30804.799999999999</v>
      </c>
      <c r="Q142">
        <v>56891.8</v>
      </c>
      <c r="R142">
        <v>3617</v>
      </c>
      <c r="S142" s="4">
        <f t="shared" si="8"/>
        <v>15.729001935305503</v>
      </c>
      <c r="T142">
        <v>15814</v>
      </c>
      <c r="U142" s="1">
        <v>0.22869999999999999</v>
      </c>
    </row>
    <row r="143" spans="1:21" x14ac:dyDescent="0.3">
      <c r="A143" t="s">
        <v>602</v>
      </c>
      <c r="B143" t="s">
        <v>603</v>
      </c>
      <c r="C143" t="s">
        <v>20</v>
      </c>
      <c r="D143" t="s">
        <v>604</v>
      </c>
      <c r="E143" t="s">
        <v>22</v>
      </c>
      <c r="F143" t="s">
        <v>89</v>
      </c>
      <c r="G143" s="6">
        <v>0</v>
      </c>
      <c r="H143" s="6">
        <v>26441</v>
      </c>
      <c r="I143" t="s">
        <v>605</v>
      </c>
      <c r="J143" t="s">
        <v>605</v>
      </c>
      <c r="K143">
        <v>1</v>
      </c>
      <c r="L143">
        <v>1904</v>
      </c>
      <c r="M143">
        <f t="shared" si="6"/>
        <v>122</v>
      </c>
      <c r="N143" t="str">
        <v>Headquarters
525 South Tryon Street 
Charlotte, North Carolina    28202
United States
Main Phone: 800 488 3853</v>
      </c>
      <c r="O143" t="str">
        <f t="shared" si="7"/>
        <v>0</v>
      </c>
      <c r="P143">
        <v>101758.2</v>
      </c>
      <c r="Q143">
        <v>194770.2</v>
      </c>
      <c r="R143">
        <v>16281</v>
      </c>
      <c r="S143" s="4">
        <f t="shared" si="8"/>
        <v>11.963036668509305</v>
      </c>
      <c r="T143">
        <v>31790</v>
      </c>
      <c r="U143" s="1">
        <v>0.5121</v>
      </c>
    </row>
    <row r="144" spans="1:21" x14ac:dyDescent="0.3">
      <c r="A144" t="s">
        <v>606</v>
      </c>
      <c r="B144" t="s">
        <v>607</v>
      </c>
      <c r="C144" t="s">
        <v>20</v>
      </c>
      <c r="D144" t="s">
        <v>608</v>
      </c>
      <c r="E144" t="s">
        <v>22</v>
      </c>
      <c r="F144" t="s">
        <v>62</v>
      </c>
      <c r="G144" s="6">
        <v>0</v>
      </c>
      <c r="H144" s="6">
        <v>15000</v>
      </c>
      <c r="I144" t="s">
        <v>609</v>
      </c>
      <c r="J144" t="s">
        <v>610</v>
      </c>
      <c r="K144">
        <v>1</v>
      </c>
      <c r="L144">
        <v>2015</v>
      </c>
      <c r="M144">
        <f t="shared" si="6"/>
        <v>11</v>
      </c>
      <c r="N144" t="str">
        <v>Headquarters
Building 730
974 Centre Road 
Wilmington, Delaware    19805
United States
Main Phone: 302 295 5783</v>
      </c>
      <c r="O144" t="str">
        <f t="shared" si="7"/>
        <v>0</v>
      </c>
      <c r="P144">
        <v>20462.5</v>
      </c>
      <c r="Q144">
        <v>23384.5</v>
      </c>
      <c r="R144">
        <v>1512</v>
      </c>
      <c r="S144" s="4">
        <f t="shared" si="8"/>
        <v>15.465939153439153</v>
      </c>
      <c r="T144">
        <v>6849</v>
      </c>
      <c r="U144" s="1">
        <v>0.2208</v>
      </c>
    </row>
    <row r="145" spans="1:21" x14ac:dyDescent="0.3">
      <c r="A145" t="s">
        <v>611</v>
      </c>
      <c r="B145" t="s">
        <v>612</v>
      </c>
      <c r="C145" t="s">
        <v>41</v>
      </c>
      <c r="D145" t="s">
        <v>613</v>
      </c>
      <c r="E145" t="s">
        <v>22</v>
      </c>
      <c r="F145" t="s">
        <v>67</v>
      </c>
      <c r="G145" s="6">
        <v>0</v>
      </c>
      <c r="H145" s="6">
        <v>12300</v>
      </c>
      <c r="J145" t="s">
        <v>614</v>
      </c>
      <c r="K145">
        <v>0</v>
      </c>
      <c r="L145">
        <v>1995</v>
      </c>
      <c r="M145">
        <f t="shared" si="6"/>
        <v>31</v>
      </c>
      <c r="N145" t="str">
        <v>Headquarters
2025 Hamilton Avenue 
San Jose, California    95125
United States
Main Phone: 408 376 9659</v>
      </c>
      <c r="O145" t="str">
        <f t="shared" si="7"/>
        <v>1</v>
      </c>
      <c r="P145">
        <v>40705.300000000003</v>
      </c>
      <c r="Q145">
        <v>44968.3</v>
      </c>
      <c r="R145">
        <v>2714</v>
      </c>
      <c r="S145" s="4">
        <f t="shared" si="8"/>
        <v>16.569012527634488</v>
      </c>
      <c r="T145">
        <v>11100</v>
      </c>
      <c r="U145" s="1">
        <v>0.2445</v>
      </c>
    </row>
    <row r="146" spans="1:21" x14ac:dyDescent="0.3">
      <c r="A146" t="s">
        <v>615</v>
      </c>
      <c r="B146" t="s">
        <v>616</v>
      </c>
      <c r="C146" t="s">
        <v>20</v>
      </c>
      <c r="D146" t="s">
        <v>617</v>
      </c>
      <c r="E146" t="s">
        <v>22</v>
      </c>
      <c r="F146" t="s">
        <v>62</v>
      </c>
      <c r="G146" s="6">
        <v>0</v>
      </c>
      <c r="H146" s="6">
        <v>48000</v>
      </c>
      <c r="J146" t="s">
        <v>618</v>
      </c>
      <c r="K146">
        <v>0</v>
      </c>
      <c r="L146">
        <v>1923</v>
      </c>
      <c r="M146">
        <f t="shared" si="6"/>
        <v>103</v>
      </c>
      <c r="N146" t="str">
        <v>Headquarters
1 Ecolab Place 
Saint Paul, Minnesota    55102-2233
United States
Main Phone: 800 232 6522
Main Fax: 651 225 3098</v>
      </c>
      <c r="O146" t="str">
        <f t="shared" si="7"/>
        <v>0</v>
      </c>
      <c r="P146">
        <v>86945.3</v>
      </c>
      <c r="Q146">
        <v>95330.3</v>
      </c>
      <c r="R146">
        <v>3928</v>
      </c>
      <c r="S146" s="4">
        <f t="shared" si="8"/>
        <v>24.269424643584522</v>
      </c>
      <c r="T146">
        <v>16081.2</v>
      </c>
      <c r="U146" s="1">
        <v>0.24429999999999999</v>
      </c>
    </row>
    <row r="147" spans="1:21" x14ac:dyDescent="0.3">
      <c r="A147" t="s">
        <v>619</v>
      </c>
      <c r="B147" t="s">
        <v>620</v>
      </c>
      <c r="C147" t="s">
        <v>20</v>
      </c>
      <c r="D147" t="s">
        <v>621</v>
      </c>
      <c r="E147" t="s">
        <v>22</v>
      </c>
      <c r="F147" t="s">
        <v>89</v>
      </c>
      <c r="G147" s="6">
        <v>0</v>
      </c>
      <c r="H147" s="6">
        <v>13725</v>
      </c>
      <c r="J147" t="s">
        <v>622</v>
      </c>
      <c r="K147">
        <v>0</v>
      </c>
      <c r="L147">
        <v>1886</v>
      </c>
      <c r="M147">
        <f t="shared" si="6"/>
        <v>140</v>
      </c>
      <c r="N147" t="str">
        <v>Headquarters
2244 Walnut Grove Avenue
PO Box 976 
Rosemead, California    91770
United States
Main Phone: 626 302 2222
Main Fax: 626 302 2117</v>
      </c>
      <c r="O147" t="str">
        <f t="shared" si="7"/>
        <v>1</v>
      </c>
      <c r="P147">
        <v>28759.3</v>
      </c>
      <c r="Q147">
        <v>72327.3</v>
      </c>
      <c r="R147">
        <v>8247</v>
      </c>
      <c r="S147" s="4">
        <f t="shared" si="8"/>
        <v>8.7701345943979625</v>
      </c>
      <c r="T147">
        <v>19317</v>
      </c>
      <c r="U147" s="1">
        <v>0.4269</v>
      </c>
    </row>
    <row r="148" spans="1:21" x14ac:dyDescent="0.3">
      <c r="A148" t="s">
        <v>623</v>
      </c>
      <c r="B148" t="s">
        <v>624</v>
      </c>
      <c r="C148" t="s">
        <v>20</v>
      </c>
      <c r="D148" t="s">
        <v>625</v>
      </c>
      <c r="E148" t="s">
        <v>22</v>
      </c>
      <c r="F148" t="s">
        <v>33</v>
      </c>
      <c r="G148" s="6">
        <v>0</v>
      </c>
      <c r="H148" s="6">
        <v>16000</v>
      </c>
      <c r="J148" t="s">
        <v>626</v>
      </c>
      <c r="K148">
        <v>0</v>
      </c>
      <c r="L148">
        <v>1958</v>
      </c>
      <c r="M148">
        <f t="shared" si="6"/>
        <v>68</v>
      </c>
      <c r="N148" t="str">
        <v>Headquarters
One Edwards Way 
Irvine, California    92614
United States
Main Phone: 949 250 2500</v>
      </c>
      <c r="O148" t="str">
        <f t="shared" si="7"/>
        <v>1</v>
      </c>
      <c r="P148">
        <v>50221.8</v>
      </c>
      <c r="Q148">
        <v>46693.8</v>
      </c>
      <c r="R148">
        <v>1794.5</v>
      </c>
      <c r="S148" s="4">
        <f t="shared" si="8"/>
        <v>26.02050710504319</v>
      </c>
      <c r="T148">
        <v>6067.6</v>
      </c>
      <c r="U148" s="1">
        <v>0.29580000000000001</v>
      </c>
    </row>
    <row r="149" spans="1:21" x14ac:dyDescent="0.3">
      <c r="A149" t="s">
        <v>627</v>
      </c>
      <c r="B149" t="s">
        <v>628</v>
      </c>
      <c r="C149" t="s">
        <v>41</v>
      </c>
      <c r="D149" t="s">
        <v>629</v>
      </c>
      <c r="E149" t="s">
        <v>22</v>
      </c>
      <c r="F149" t="s">
        <v>95</v>
      </c>
      <c r="G149" s="6">
        <v>0</v>
      </c>
      <c r="H149" s="6">
        <v>14500</v>
      </c>
      <c r="J149" t="s">
        <v>630</v>
      </c>
      <c r="K149">
        <v>0</v>
      </c>
      <c r="L149">
        <v>1982</v>
      </c>
      <c r="M149">
        <f t="shared" si="6"/>
        <v>44</v>
      </c>
      <c r="N149" t="str">
        <v>Headquarters
209 Redwood Shores Parkway 
Redwood City, California    94065
United States
Main Phone: 650 628 1500</v>
      </c>
      <c r="O149" t="str">
        <f t="shared" si="7"/>
        <v>1</v>
      </c>
      <c r="P149">
        <v>50193.4</v>
      </c>
      <c r="Q149">
        <v>49536.4</v>
      </c>
      <c r="R149">
        <v>1345</v>
      </c>
      <c r="S149" s="4">
        <f t="shared" si="8"/>
        <v>36.830037174721191</v>
      </c>
      <c r="T149">
        <v>7306</v>
      </c>
      <c r="U149" s="1">
        <v>0.18410000000000001</v>
      </c>
    </row>
    <row r="150" spans="1:21" x14ac:dyDescent="0.3">
      <c r="A150" t="s">
        <v>631</v>
      </c>
      <c r="B150" t="s">
        <v>632</v>
      </c>
      <c r="C150" t="s">
        <v>20</v>
      </c>
      <c r="D150" t="s">
        <v>633</v>
      </c>
      <c r="E150" t="s">
        <v>22</v>
      </c>
      <c r="F150" t="s">
        <v>33</v>
      </c>
      <c r="G150" s="6">
        <v>0</v>
      </c>
      <c r="H150" s="6">
        <v>96615</v>
      </c>
      <c r="I150" t="s">
        <v>634</v>
      </c>
      <c r="J150" t="s">
        <v>634</v>
      </c>
      <c r="K150">
        <v>1</v>
      </c>
      <c r="L150">
        <v>2001</v>
      </c>
      <c r="M150">
        <f t="shared" si="6"/>
        <v>25</v>
      </c>
      <c r="N150" t="str">
        <v>Headquarters
220 Virginia Avenue 
Indianapolis, Indiana    46204
United States
Main Phone: 833 401 1577</v>
      </c>
      <c r="O150" t="str">
        <f t="shared" si="7"/>
        <v>0</v>
      </c>
      <c r="P150">
        <v>70625.5</v>
      </c>
      <c r="Q150">
        <v>94028.5</v>
      </c>
      <c r="R150">
        <v>9040</v>
      </c>
      <c r="S150" s="4">
        <f t="shared" si="8"/>
        <v>10.401382743362833</v>
      </c>
      <c r="T150">
        <v>199126</v>
      </c>
      <c r="U150" s="1">
        <v>4.5400000000000003E-2</v>
      </c>
    </row>
    <row r="151" spans="1:21" x14ac:dyDescent="0.3">
      <c r="A151" t="s">
        <v>635</v>
      </c>
      <c r="B151" t="s">
        <v>636</v>
      </c>
      <c r="C151" t="s">
        <v>20</v>
      </c>
      <c r="D151" t="s">
        <v>637</v>
      </c>
      <c r="E151" t="s">
        <v>22</v>
      </c>
      <c r="F151" t="s">
        <v>33</v>
      </c>
      <c r="G151" s="6">
        <v>0</v>
      </c>
      <c r="H151" s="6">
        <v>50000</v>
      </c>
      <c r="J151" t="s">
        <v>638</v>
      </c>
      <c r="K151">
        <v>0</v>
      </c>
      <c r="L151">
        <v>1876</v>
      </c>
      <c r="M151">
        <f t="shared" si="6"/>
        <v>150</v>
      </c>
      <c r="N151" t="str">
        <v>Headquarters
Lilly Corporate Center 
Indianapolis, Indiana    46285
United States
Main Phone: 317 276 2000</v>
      </c>
      <c r="O151" t="str">
        <f t="shared" si="7"/>
        <v>0</v>
      </c>
      <c r="P151">
        <v>939803.1</v>
      </c>
      <c r="Q151">
        <v>976177.1</v>
      </c>
      <c r="R151">
        <v>31693</v>
      </c>
      <c r="S151" s="4">
        <f t="shared" si="8"/>
        <v>30.801031773577762</v>
      </c>
      <c r="T151">
        <v>65179</v>
      </c>
      <c r="U151" s="1">
        <v>0.48620000000000002</v>
      </c>
    </row>
    <row r="152" spans="1:21" x14ac:dyDescent="0.3">
      <c r="A152" t="s">
        <v>639</v>
      </c>
      <c r="B152" t="s">
        <v>640</v>
      </c>
      <c r="C152" t="s">
        <v>20</v>
      </c>
      <c r="D152" t="s">
        <v>641</v>
      </c>
      <c r="E152" t="s">
        <v>22</v>
      </c>
      <c r="F152" t="s">
        <v>28</v>
      </c>
      <c r="G152" s="6">
        <v>0</v>
      </c>
      <c r="H152" s="6">
        <v>44000</v>
      </c>
      <c r="J152" t="s">
        <v>642</v>
      </c>
      <c r="K152">
        <v>0</v>
      </c>
      <c r="L152">
        <v>1987</v>
      </c>
      <c r="M152">
        <f t="shared" si="6"/>
        <v>39</v>
      </c>
      <c r="N152" t="str">
        <v>Headquarters
301 Merritt Seven 
Norwalk, Connecticut    06851-1092
United States
Main Phone: 203 849 7800</v>
      </c>
      <c r="O152" t="str">
        <f t="shared" si="7"/>
        <v>0</v>
      </c>
      <c r="P152">
        <v>32269.200000000001</v>
      </c>
      <c r="Q152">
        <v>31632.799999999999</v>
      </c>
      <c r="R152">
        <v>1765.3</v>
      </c>
      <c r="S152" s="4">
        <f t="shared" si="8"/>
        <v>17.919220529088541</v>
      </c>
      <c r="T152">
        <v>16986.400000000001</v>
      </c>
      <c r="U152" s="1">
        <v>0.10390000000000001</v>
      </c>
    </row>
    <row r="153" spans="1:21" x14ac:dyDescent="0.3">
      <c r="A153" t="s">
        <v>643</v>
      </c>
      <c r="B153" t="s">
        <v>644</v>
      </c>
      <c r="C153" t="s">
        <v>20</v>
      </c>
      <c r="D153" t="s">
        <v>645</v>
      </c>
      <c r="E153" t="s">
        <v>22</v>
      </c>
      <c r="F153" t="s">
        <v>28</v>
      </c>
      <c r="G153" s="6">
        <v>0</v>
      </c>
      <c r="H153" s="6">
        <v>71000</v>
      </c>
      <c r="J153" t="s">
        <v>646</v>
      </c>
      <c r="K153">
        <v>0</v>
      </c>
      <c r="L153">
        <v>1890</v>
      </c>
      <c r="M153">
        <f t="shared" si="6"/>
        <v>136</v>
      </c>
      <c r="N153" t="str">
        <v>Headquarters
8027 Forsyth Boulevard 
Saint Louis, Missouri    63105
United States
Main Phone: (314) 553-2000</v>
      </c>
      <c r="O153" t="str">
        <f t="shared" si="7"/>
        <v>0</v>
      </c>
      <c r="P153">
        <v>84721.5</v>
      </c>
      <c r="Q153">
        <v>97047.5</v>
      </c>
      <c r="R153">
        <v>5878</v>
      </c>
      <c r="S153" s="4">
        <f t="shared" si="8"/>
        <v>16.510292616536237</v>
      </c>
      <c r="T153">
        <v>18187</v>
      </c>
      <c r="U153" s="1">
        <v>0.32319999999999999</v>
      </c>
    </row>
    <row r="154" spans="1:21" x14ac:dyDescent="0.3">
      <c r="A154" t="s">
        <v>647</v>
      </c>
      <c r="B154" t="s">
        <v>648</v>
      </c>
      <c r="C154" t="s">
        <v>20</v>
      </c>
      <c r="D154" t="s">
        <v>649</v>
      </c>
      <c r="E154" t="s">
        <v>22</v>
      </c>
      <c r="F154" t="s">
        <v>89</v>
      </c>
      <c r="G154" s="6">
        <v>0</v>
      </c>
      <c r="H154" s="6">
        <v>12233</v>
      </c>
      <c r="J154" t="s">
        <v>650</v>
      </c>
      <c r="K154">
        <v>0</v>
      </c>
      <c r="L154">
        <v>1913</v>
      </c>
      <c r="M154">
        <f t="shared" si="6"/>
        <v>113</v>
      </c>
      <c r="N154" t="str">
        <v>Headquarters
639 Loyola Avenue 
New Orleans, Louisiana    70113
United States
Main Phone: 504 576 4000</v>
      </c>
      <c r="O154" t="str">
        <f t="shared" si="7"/>
        <v>0</v>
      </c>
      <c r="P154">
        <v>48519.7</v>
      </c>
      <c r="Q154">
        <v>78229.2</v>
      </c>
      <c r="R154">
        <v>5579.1</v>
      </c>
      <c r="S154" s="4">
        <f t="shared" si="8"/>
        <v>14.021831478195406</v>
      </c>
      <c r="T154">
        <v>12946.7</v>
      </c>
      <c r="U154" s="1">
        <v>0.43090000000000001</v>
      </c>
    </row>
    <row r="155" spans="1:21" x14ac:dyDescent="0.3">
      <c r="A155" t="s">
        <v>651</v>
      </c>
      <c r="B155" t="s">
        <v>652</v>
      </c>
      <c r="C155" t="s">
        <v>20</v>
      </c>
      <c r="D155" t="s">
        <v>653</v>
      </c>
      <c r="E155" t="s">
        <v>22</v>
      </c>
      <c r="F155" t="s">
        <v>153</v>
      </c>
      <c r="G155" s="6">
        <v>0</v>
      </c>
      <c r="H155" s="6">
        <v>3400</v>
      </c>
      <c r="J155" t="s">
        <v>654</v>
      </c>
      <c r="K155">
        <v>0</v>
      </c>
      <c r="L155">
        <v>1985</v>
      </c>
      <c r="M155">
        <f t="shared" si="6"/>
        <v>41</v>
      </c>
      <c r="N155" t="str">
        <v>Headquarters
1111 Bagby Street
Sky Lobby 2 
Houston, Texas    77002
United States
Main Phone: 713 651 7000
Main Fax: 713 651 6995</v>
      </c>
      <c r="O155" t="str">
        <f t="shared" si="7"/>
        <v>0</v>
      </c>
      <c r="P155">
        <v>66567.899999999994</v>
      </c>
      <c r="Q155">
        <v>72306.899999999994</v>
      </c>
      <c r="R155">
        <v>11724</v>
      </c>
      <c r="S155" s="4">
        <f t="shared" si="8"/>
        <v>6.1674257932446261</v>
      </c>
      <c r="T155">
        <v>22654</v>
      </c>
      <c r="U155" s="1">
        <v>0.51749999999999996</v>
      </c>
    </row>
    <row r="156" spans="1:21" x14ac:dyDescent="0.3">
      <c r="A156" t="s">
        <v>655</v>
      </c>
      <c r="B156" t="s">
        <v>656</v>
      </c>
      <c r="C156" t="s">
        <v>20</v>
      </c>
      <c r="D156" t="s">
        <v>657</v>
      </c>
      <c r="E156" t="s">
        <v>22</v>
      </c>
      <c r="F156" t="s">
        <v>43</v>
      </c>
      <c r="G156" s="6">
        <v>0</v>
      </c>
      <c r="H156" s="6">
        <v>62850</v>
      </c>
      <c r="J156" t="s">
        <v>658</v>
      </c>
      <c r="K156">
        <v>0</v>
      </c>
      <c r="L156">
        <v>1993</v>
      </c>
      <c r="M156">
        <f t="shared" si="6"/>
        <v>33</v>
      </c>
      <c r="N156" t="str">
        <v>Headquarters
41 University Drive
Suite 202 
Newtown, Pennsylvania    18940
United States
Main Phone: 267 759 9000
Main Fax: 267 759 8989</v>
      </c>
      <c r="O156" t="str">
        <f t="shared" si="7"/>
        <v>0</v>
      </c>
      <c r="P156">
        <v>7633.7</v>
      </c>
      <c r="Q156">
        <v>6481.9</v>
      </c>
      <c r="R156">
        <v>707.2</v>
      </c>
      <c r="S156" s="4">
        <f t="shared" si="8"/>
        <v>9.1655825791855197</v>
      </c>
      <c r="T156">
        <v>5457.1</v>
      </c>
      <c r="U156" s="1">
        <v>0.12959999999999999</v>
      </c>
    </row>
    <row r="157" spans="1:21" x14ac:dyDescent="0.3">
      <c r="A157" t="s">
        <v>659</v>
      </c>
      <c r="B157" t="s">
        <v>660</v>
      </c>
      <c r="C157" t="s">
        <v>20</v>
      </c>
      <c r="D157" t="s">
        <v>661</v>
      </c>
      <c r="E157" t="s">
        <v>22</v>
      </c>
      <c r="F157" t="s">
        <v>153</v>
      </c>
      <c r="G157" s="6">
        <v>0</v>
      </c>
      <c r="H157" s="6">
        <v>1523</v>
      </c>
      <c r="J157" t="s">
        <v>662</v>
      </c>
      <c r="K157">
        <v>0</v>
      </c>
      <c r="L157">
        <v>1888</v>
      </c>
      <c r="M157">
        <f t="shared" si="6"/>
        <v>138</v>
      </c>
      <c r="N157" t="str">
        <v>Headquarters
625 Liberty Avenue
Suite 1700 
Pittsburgh, Pennsylvania    15222
United States
Main Phone: 412 553 5700</v>
      </c>
      <c r="O157" t="str">
        <f t="shared" si="7"/>
        <v>0</v>
      </c>
      <c r="P157">
        <v>38379.4</v>
      </c>
      <c r="Q157">
        <v>49791.9</v>
      </c>
      <c r="R157">
        <v>6091</v>
      </c>
      <c r="S157" s="4">
        <f t="shared" si="8"/>
        <v>8.174667542275488</v>
      </c>
      <c r="T157">
        <v>8180.7</v>
      </c>
      <c r="U157" s="1">
        <v>0.74460000000000004</v>
      </c>
    </row>
    <row r="158" spans="1:21" x14ac:dyDescent="0.3">
      <c r="A158" t="s">
        <v>663</v>
      </c>
      <c r="B158" t="s">
        <v>664</v>
      </c>
      <c r="C158" t="s">
        <v>20</v>
      </c>
      <c r="D158" t="s">
        <v>665</v>
      </c>
      <c r="E158" t="s">
        <v>22</v>
      </c>
      <c r="F158" t="s">
        <v>28</v>
      </c>
      <c r="G158" s="6">
        <v>0</v>
      </c>
      <c r="H158" s="6">
        <v>15000</v>
      </c>
      <c r="J158" t="s">
        <v>666</v>
      </c>
      <c r="K158">
        <v>0</v>
      </c>
      <c r="L158">
        <v>1899</v>
      </c>
      <c r="M158">
        <f t="shared" si="6"/>
        <v>127</v>
      </c>
      <c r="N158" t="str">
        <v>Headquarters
1550 Peachtree Street, NW 
Atlanta, Georgia    30309
United States
Main Phone: 404 885 8000</v>
      </c>
      <c r="O158" t="str">
        <f t="shared" si="7"/>
        <v>0</v>
      </c>
      <c r="P158">
        <v>25131.599999999999</v>
      </c>
      <c r="Q158">
        <v>30326.9</v>
      </c>
      <c r="R158">
        <v>1868.6</v>
      </c>
      <c r="S158" s="4">
        <f t="shared" si="8"/>
        <v>16.229744193513863</v>
      </c>
      <c r="T158">
        <v>6074.5</v>
      </c>
      <c r="U158" s="1">
        <v>0.30759999999999998</v>
      </c>
    </row>
    <row r="159" spans="1:21" x14ac:dyDescent="0.3">
      <c r="A159" t="s">
        <v>667</v>
      </c>
      <c r="B159" t="s">
        <v>668</v>
      </c>
      <c r="C159" t="s">
        <v>41</v>
      </c>
      <c r="D159" t="s">
        <v>669</v>
      </c>
      <c r="E159" t="s">
        <v>22</v>
      </c>
      <c r="F159" t="s">
        <v>80</v>
      </c>
      <c r="G159" s="6">
        <v>0</v>
      </c>
      <c r="H159" s="6">
        <v>13716</v>
      </c>
      <c r="I159" t="s">
        <v>670</v>
      </c>
      <c r="J159" t="s">
        <v>670</v>
      </c>
      <c r="K159">
        <v>1</v>
      </c>
      <c r="L159">
        <v>1998</v>
      </c>
      <c r="M159">
        <f t="shared" si="6"/>
        <v>28</v>
      </c>
      <c r="N159" t="str">
        <v>Headquarters
One Lagoon Drive
4th Floor 
Redwood City, California    94065-1562
United States
Main Phone: 650 598 6000
Main Fax: 650 598 6900</v>
      </c>
      <c r="O159" t="str">
        <f t="shared" si="7"/>
        <v>1</v>
      </c>
      <c r="P159">
        <v>95725.8</v>
      </c>
      <c r="Q159">
        <v>116746.8</v>
      </c>
      <c r="R159">
        <v>4072</v>
      </c>
      <c r="S159" s="4">
        <f t="shared" si="8"/>
        <v>28.670628683693518</v>
      </c>
      <c r="T159">
        <v>9260</v>
      </c>
      <c r="U159" s="1">
        <v>0.43969999999999998</v>
      </c>
    </row>
    <row r="160" spans="1:21" x14ac:dyDescent="0.3">
      <c r="A160" t="s">
        <v>671</v>
      </c>
      <c r="B160" t="s">
        <v>672</v>
      </c>
      <c r="C160" t="s">
        <v>20</v>
      </c>
      <c r="D160" t="s">
        <v>673</v>
      </c>
      <c r="E160" t="s">
        <v>22</v>
      </c>
      <c r="F160" t="s">
        <v>80</v>
      </c>
      <c r="G160" s="6">
        <v>0</v>
      </c>
      <c r="H160" s="6">
        <v>2400</v>
      </c>
      <c r="J160" t="s">
        <v>674</v>
      </c>
      <c r="K160">
        <v>0</v>
      </c>
      <c r="L160">
        <v>1993</v>
      </c>
      <c r="M160">
        <f t="shared" si="6"/>
        <v>33</v>
      </c>
      <c r="N160" t="str">
        <v>Headquarters
Two North Riverside Plaza
Suite 400 
Chicago, Illinois    60606-2609
United States
Main Phone: 312 474 1300
Main Fax: 312 454 8703</v>
      </c>
      <c r="O160" t="str">
        <f t="shared" si="7"/>
        <v>0</v>
      </c>
      <c r="P160">
        <v>23864.799999999999</v>
      </c>
      <c r="Q160">
        <v>32673.200000000001</v>
      </c>
      <c r="R160">
        <v>1882.2</v>
      </c>
      <c r="S160" s="4">
        <f t="shared" si="8"/>
        <v>17.359047922643715</v>
      </c>
      <c r="T160">
        <v>3094</v>
      </c>
      <c r="U160" s="1">
        <v>0.60829999999999995</v>
      </c>
    </row>
    <row r="161" spans="1:21" x14ac:dyDescent="0.3">
      <c r="A161" t="s">
        <v>675</v>
      </c>
      <c r="B161" t="s">
        <v>676</v>
      </c>
      <c r="C161" t="s">
        <v>41</v>
      </c>
      <c r="D161" t="s">
        <v>677</v>
      </c>
      <c r="E161" t="s">
        <v>22</v>
      </c>
      <c r="F161" t="s">
        <v>53</v>
      </c>
      <c r="G161" s="6">
        <v>1</v>
      </c>
      <c r="H161" s="6">
        <v>6667</v>
      </c>
      <c r="J161" t="s">
        <v>678</v>
      </c>
      <c r="K161">
        <v>0</v>
      </c>
      <c r="L161">
        <v>1925</v>
      </c>
      <c r="M161">
        <f t="shared" si="6"/>
        <v>101</v>
      </c>
      <c r="N161" t="str">
        <v>Headquarters
100 Erie Insurance Place 
Erie, Pennsylvania    16530
United States
Main Phone: 814 870 2000
Main Fax: 814 870 2717</v>
      </c>
      <c r="O161" t="str">
        <f t="shared" si="7"/>
        <v>0</v>
      </c>
      <c r="P161">
        <v>14089</v>
      </c>
      <c r="Q161">
        <v>13801.3</v>
      </c>
      <c r="R161">
        <v>809</v>
      </c>
      <c r="S161" s="4">
        <f t="shared" si="8"/>
        <v>17.059703337453644</v>
      </c>
      <c r="T161">
        <v>4067.3</v>
      </c>
      <c r="U161" s="1">
        <v>0.19889999999999999</v>
      </c>
    </row>
    <row r="162" spans="1:21" x14ac:dyDescent="0.3">
      <c r="A162" t="s">
        <v>679</v>
      </c>
      <c r="B162" t="s">
        <v>680</v>
      </c>
      <c r="C162" t="s">
        <v>20</v>
      </c>
      <c r="D162" t="s">
        <v>681</v>
      </c>
      <c r="E162" t="s">
        <v>22</v>
      </c>
      <c r="F162" t="s">
        <v>80</v>
      </c>
      <c r="G162" s="6">
        <v>0</v>
      </c>
      <c r="H162" s="6">
        <v>1688</v>
      </c>
      <c r="I162" t="s">
        <v>682</v>
      </c>
      <c r="J162" t="s">
        <v>682</v>
      </c>
      <c r="K162">
        <v>1</v>
      </c>
      <c r="L162">
        <v>1971</v>
      </c>
      <c r="M162">
        <f t="shared" si="6"/>
        <v>55</v>
      </c>
      <c r="N162" t="str">
        <v>Headquarters
1100 Park Place
Suite 200 
San Mateo, California    94403
United States
Main Phone: 650 655 7800
Main Fax: 650 655 7810</v>
      </c>
      <c r="O162" t="str">
        <f t="shared" si="7"/>
        <v>1</v>
      </c>
      <c r="P162">
        <v>16448.3</v>
      </c>
      <c r="Q162">
        <v>23417.4</v>
      </c>
      <c r="R162">
        <v>1255.4000000000001</v>
      </c>
      <c r="S162" s="4">
        <f t="shared" si="8"/>
        <v>18.653337581647282</v>
      </c>
      <c r="T162">
        <v>1935.4</v>
      </c>
      <c r="U162" s="1">
        <v>0.64870000000000005</v>
      </c>
    </row>
    <row r="163" spans="1:21" x14ac:dyDescent="0.3">
      <c r="A163" t="s">
        <v>683</v>
      </c>
      <c r="B163" t="s">
        <v>684</v>
      </c>
      <c r="C163" t="s">
        <v>41</v>
      </c>
      <c r="D163" t="s">
        <v>685</v>
      </c>
      <c r="E163" t="s">
        <v>22</v>
      </c>
      <c r="F163" t="s">
        <v>89</v>
      </c>
      <c r="G163" s="6">
        <v>0</v>
      </c>
      <c r="H163" s="6">
        <v>4691</v>
      </c>
      <c r="J163" t="s">
        <v>686</v>
      </c>
      <c r="K163">
        <v>0</v>
      </c>
      <c r="L163">
        <v>2017</v>
      </c>
      <c r="M163">
        <f t="shared" si="6"/>
        <v>9</v>
      </c>
      <c r="N163" t="str">
        <v>Headquarters
1200 Main Street 
Kansas City, Missouri    64105
United States
Main Phone: 816 556 2200</v>
      </c>
      <c r="O163" t="str">
        <f t="shared" si="7"/>
        <v>0</v>
      </c>
      <c r="P163">
        <v>19265.400000000001</v>
      </c>
      <c r="Q163">
        <v>34685.300000000003</v>
      </c>
      <c r="R163">
        <v>2741.4</v>
      </c>
      <c r="S163" s="4">
        <f t="shared" si="8"/>
        <v>12.652403881228571</v>
      </c>
      <c r="T163">
        <v>5961.6</v>
      </c>
      <c r="U163" s="1">
        <v>0.45979999999999999</v>
      </c>
    </row>
    <row r="164" spans="1:21" x14ac:dyDescent="0.3">
      <c r="A164" t="s">
        <v>687</v>
      </c>
      <c r="B164" t="s">
        <v>688</v>
      </c>
      <c r="C164" t="s">
        <v>20</v>
      </c>
      <c r="D164" t="s">
        <v>689</v>
      </c>
      <c r="E164" t="s">
        <v>22</v>
      </c>
      <c r="F164" t="s">
        <v>89</v>
      </c>
      <c r="G164" s="6">
        <v>0</v>
      </c>
      <c r="H164" s="6">
        <v>10731</v>
      </c>
      <c r="J164" t="s">
        <v>690</v>
      </c>
      <c r="K164">
        <v>0</v>
      </c>
      <c r="L164">
        <v>1927</v>
      </c>
      <c r="M164">
        <f t="shared" si="6"/>
        <v>99</v>
      </c>
      <c r="N164" t="str">
        <v>Headquarters
300 Cadwell Drive 
Springfield, Massachusetts    01104
United States
Main Phone: 800 286 5000</v>
      </c>
      <c r="O164" t="str">
        <f t="shared" si="7"/>
        <v>0</v>
      </c>
      <c r="P164">
        <v>28616.6</v>
      </c>
      <c r="Q164">
        <v>58880.800000000003</v>
      </c>
      <c r="R164">
        <v>4696.5</v>
      </c>
      <c r="S164" s="4">
        <f t="shared" si="8"/>
        <v>12.537165974661983</v>
      </c>
      <c r="T164">
        <v>13547.2</v>
      </c>
      <c r="U164" s="1">
        <v>0.34670000000000001</v>
      </c>
    </row>
    <row r="165" spans="1:21" x14ac:dyDescent="0.3">
      <c r="A165" t="s">
        <v>691</v>
      </c>
      <c r="B165" t="s">
        <v>692</v>
      </c>
      <c r="C165" t="s">
        <v>41</v>
      </c>
      <c r="D165" t="s">
        <v>693</v>
      </c>
      <c r="E165" t="s">
        <v>22</v>
      </c>
      <c r="F165" t="s">
        <v>89</v>
      </c>
      <c r="G165" s="6">
        <v>0</v>
      </c>
      <c r="H165" s="6">
        <v>20571</v>
      </c>
      <c r="J165" t="s">
        <v>694</v>
      </c>
      <c r="K165">
        <v>0</v>
      </c>
      <c r="L165">
        <v>1999</v>
      </c>
      <c r="M165">
        <f t="shared" si="6"/>
        <v>27</v>
      </c>
      <c r="N165" t="str">
        <v>Headquarters
10 South Dearborn Street
54th Floor
PO Box 805398 
Chicago, Illinois    60680-5379
United States
Main Phone: 800 483 3220</v>
      </c>
      <c r="O165" t="str">
        <f t="shared" si="7"/>
        <v>0</v>
      </c>
      <c r="P165">
        <v>50602.5</v>
      </c>
      <c r="Q165">
        <v>100222.5</v>
      </c>
      <c r="R165">
        <v>8142</v>
      </c>
      <c r="S165" s="4">
        <f t="shared" si="8"/>
        <v>12.309322033898304</v>
      </c>
      <c r="T165">
        <v>24258</v>
      </c>
      <c r="U165" s="1">
        <v>0.33560000000000001</v>
      </c>
    </row>
    <row r="166" spans="1:21" x14ac:dyDescent="0.3">
      <c r="A166" t="s">
        <v>695</v>
      </c>
      <c r="B166" t="s">
        <v>696</v>
      </c>
      <c r="C166" t="s">
        <v>41</v>
      </c>
      <c r="D166" t="s">
        <v>697</v>
      </c>
      <c r="E166" t="s">
        <v>22</v>
      </c>
      <c r="F166" t="s">
        <v>153</v>
      </c>
      <c r="G166" s="6">
        <v>0</v>
      </c>
      <c r="H166" s="6">
        <v>1600</v>
      </c>
      <c r="J166" t="s">
        <v>698</v>
      </c>
      <c r="K166">
        <v>0</v>
      </c>
      <c r="L166">
        <v>1989</v>
      </c>
      <c r="M166">
        <f t="shared" si="6"/>
        <v>37</v>
      </c>
      <c r="N166" t="str">
        <v>Headquarters
6100 North Western Avenue 
Oklahoma City, Oklahoma    73118
United States
Main Phone: 405 848 8000</v>
      </c>
      <c r="O166" t="str">
        <f t="shared" si="7"/>
        <v>0</v>
      </c>
      <c r="P166">
        <v>25943.8</v>
      </c>
      <c r="Q166">
        <v>30435.8</v>
      </c>
      <c r="R166">
        <v>5615</v>
      </c>
      <c r="S166" s="4">
        <f t="shared" si="8"/>
        <v>5.420445235975067</v>
      </c>
      <c r="T166">
        <v>11639</v>
      </c>
      <c r="U166" s="1">
        <v>0.4824</v>
      </c>
    </row>
    <row r="167" spans="1:21" x14ac:dyDescent="0.3">
      <c r="A167" t="s">
        <v>699</v>
      </c>
      <c r="B167" t="s">
        <v>700</v>
      </c>
      <c r="C167" t="s">
        <v>41</v>
      </c>
      <c r="D167" t="s">
        <v>701</v>
      </c>
      <c r="E167" t="s">
        <v>22</v>
      </c>
      <c r="F167" t="s">
        <v>67</v>
      </c>
      <c r="G167" s="6">
        <v>0</v>
      </c>
      <c r="H167" s="6">
        <v>16000</v>
      </c>
      <c r="I167" t="s">
        <v>702</v>
      </c>
      <c r="J167" t="s">
        <v>702</v>
      </c>
      <c r="K167">
        <v>1</v>
      </c>
      <c r="L167">
        <v>1996</v>
      </c>
      <c r="M167">
        <f t="shared" si="6"/>
        <v>30</v>
      </c>
      <c r="N167" t="str">
        <v>Headquarters
1111 Expedia Group Way West 
Seattle, Washington    98119
United States
Main Phone: 206 481 7200</v>
      </c>
      <c r="O167" t="str">
        <f t="shared" si="7"/>
        <v>0</v>
      </c>
      <c r="P167">
        <v>26429.5</v>
      </c>
      <c r="Q167">
        <v>28446.5</v>
      </c>
      <c r="R167">
        <v>2301</v>
      </c>
      <c r="S167" s="4">
        <f t="shared" si="8"/>
        <v>12.362668405041287</v>
      </c>
      <c r="T167">
        <v>14733</v>
      </c>
      <c r="U167" s="1">
        <v>0.15620000000000001</v>
      </c>
    </row>
    <row r="168" spans="1:21" x14ac:dyDescent="0.3">
      <c r="A168" t="s">
        <v>703</v>
      </c>
      <c r="B168" t="s">
        <v>704</v>
      </c>
      <c r="C168" t="s">
        <v>20</v>
      </c>
      <c r="D168" t="s">
        <v>705</v>
      </c>
      <c r="E168" t="s">
        <v>22</v>
      </c>
      <c r="F168" t="s">
        <v>28</v>
      </c>
      <c r="G168" s="6">
        <v>0</v>
      </c>
      <c r="H168" s="6">
        <v>19800</v>
      </c>
      <c r="J168" t="s">
        <v>706</v>
      </c>
      <c r="K168">
        <v>0</v>
      </c>
      <c r="L168">
        <v>1979</v>
      </c>
      <c r="M168">
        <f t="shared" si="6"/>
        <v>47</v>
      </c>
      <c r="N168" t="str">
        <v>Headquarters
Sterling Plaza 2
3rd Floor
3545 Factoria Blvd. SE 
Bellevue, Washington    98006
United States
Main Phone: 206 674 3400</v>
      </c>
      <c r="O168" t="str">
        <f t="shared" si="7"/>
        <v>0</v>
      </c>
      <c r="P168">
        <v>19362</v>
      </c>
      <c r="Q168">
        <v>18620.8</v>
      </c>
      <c r="R168">
        <v>1109.3</v>
      </c>
      <c r="S168" s="4">
        <f t="shared" si="8"/>
        <v>16.786081312539441</v>
      </c>
      <c r="T168">
        <v>11069</v>
      </c>
      <c r="U168" s="1">
        <v>0.1002</v>
      </c>
    </row>
    <row r="169" spans="1:21" x14ac:dyDescent="0.3">
      <c r="A169" t="s">
        <v>707</v>
      </c>
      <c r="B169" t="s">
        <v>708</v>
      </c>
      <c r="C169" t="s">
        <v>20</v>
      </c>
      <c r="D169" t="s">
        <v>709</v>
      </c>
      <c r="E169" t="s">
        <v>22</v>
      </c>
      <c r="F169" t="s">
        <v>80</v>
      </c>
      <c r="G169" s="6">
        <v>0</v>
      </c>
      <c r="H169" s="6">
        <v>8393</v>
      </c>
      <c r="J169" t="s">
        <v>710</v>
      </c>
      <c r="K169">
        <v>0</v>
      </c>
      <c r="L169">
        <v>1977</v>
      </c>
      <c r="M169">
        <f t="shared" si="6"/>
        <v>49</v>
      </c>
      <c r="N169" t="str">
        <v>Headquarters
2795 East Cottonwood Parkway
Suite 300 
Salt Lake City, Utah    84121-7033
United States
Main Phone: 801 365 4600
Main Fax: 801 365 4855</v>
      </c>
      <c r="O169" t="str">
        <f t="shared" si="7"/>
        <v>0</v>
      </c>
      <c r="P169">
        <v>31888.1</v>
      </c>
      <c r="Q169">
        <v>46771.5</v>
      </c>
      <c r="R169">
        <v>2268.8000000000002</v>
      </c>
      <c r="S169" s="4">
        <f t="shared" si="8"/>
        <v>20.615082863187588</v>
      </c>
      <c r="T169">
        <v>3446.4</v>
      </c>
      <c r="U169" s="1">
        <v>0.6583</v>
      </c>
    </row>
    <row r="170" spans="1:21" x14ac:dyDescent="0.3">
      <c r="A170" t="s">
        <v>711</v>
      </c>
      <c r="B170" t="s">
        <v>712</v>
      </c>
      <c r="C170" t="s">
        <v>20</v>
      </c>
      <c r="D170" t="s">
        <v>713</v>
      </c>
      <c r="E170" t="s">
        <v>22</v>
      </c>
      <c r="F170" t="s">
        <v>153</v>
      </c>
      <c r="G170" s="6">
        <v>0</v>
      </c>
      <c r="H170" s="6">
        <v>57900</v>
      </c>
      <c r="J170" t="s">
        <v>714</v>
      </c>
      <c r="K170">
        <v>0</v>
      </c>
      <c r="L170">
        <v>1870</v>
      </c>
      <c r="M170">
        <f t="shared" si="6"/>
        <v>156</v>
      </c>
      <c r="N170" t="str">
        <v>Headquarters
 22777 Springwoods Village Parkway 
Spring, Texas    77389-1425
United States
Main Phone: 972-940-6000</v>
      </c>
      <c r="O170" t="str">
        <f t="shared" si="7"/>
        <v>0</v>
      </c>
      <c r="P170">
        <v>635431.4</v>
      </c>
      <c r="Q170">
        <v>682477.4</v>
      </c>
      <c r="R170">
        <v>59386</v>
      </c>
      <c r="S170" s="4">
        <f t="shared" si="8"/>
        <v>11.492227124238036</v>
      </c>
      <c r="T170">
        <v>323905</v>
      </c>
      <c r="U170" s="1">
        <v>0.18329999999999999</v>
      </c>
    </row>
    <row r="171" spans="1:21" x14ac:dyDescent="0.3">
      <c r="A171" t="s">
        <v>715</v>
      </c>
      <c r="B171" t="s">
        <v>716</v>
      </c>
      <c r="C171" t="s">
        <v>41</v>
      </c>
      <c r="D171" t="s">
        <v>717</v>
      </c>
      <c r="E171" t="s">
        <v>22</v>
      </c>
      <c r="F171" t="s">
        <v>43</v>
      </c>
      <c r="G171" s="6">
        <v>0</v>
      </c>
      <c r="H171" s="6">
        <v>6545</v>
      </c>
      <c r="J171" t="s">
        <v>718</v>
      </c>
      <c r="K171">
        <v>0</v>
      </c>
      <c r="L171">
        <v>1996</v>
      </c>
      <c r="M171">
        <f t="shared" si="6"/>
        <v>30</v>
      </c>
      <c r="N171" t="str">
        <v>Headquarters
801 5th Avenue 
Seattle, Washington    98104
United States
Main Phone: 206 272 5555
Main Fax: 206 272 5556</v>
      </c>
      <c r="O171" t="str">
        <f t="shared" si="7"/>
        <v>0</v>
      </c>
      <c r="P171">
        <v>15337.1</v>
      </c>
      <c r="Q171">
        <v>14405.1</v>
      </c>
      <c r="R171">
        <v>883.5</v>
      </c>
      <c r="S171" s="4">
        <f t="shared" si="8"/>
        <v>16.304584040747031</v>
      </c>
      <c r="T171">
        <v>3144</v>
      </c>
      <c r="U171" s="1">
        <v>0.28100000000000003</v>
      </c>
    </row>
    <row r="172" spans="1:21" x14ac:dyDescent="0.3">
      <c r="A172" t="s">
        <v>719</v>
      </c>
      <c r="B172" t="s">
        <v>720</v>
      </c>
      <c r="C172" t="s">
        <v>20</v>
      </c>
      <c r="D172" t="s">
        <v>721</v>
      </c>
      <c r="E172" t="s">
        <v>22</v>
      </c>
      <c r="F172" t="s">
        <v>53</v>
      </c>
      <c r="G172" s="6">
        <v>1</v>
      </c>
      <c r="H172" s="6">
        <v>12886</v>
      </c>
      <c r="J172" t="s">
        <v>722</v>
      </c>
      <c r="K172">
        <v>0</v>
      </c>
      <c r="L172">
        <v>1978</v>
      </c>
      <c r="M172">
        <f t="shared" si="6"/>
        <v>48</v>
      </c>
      <c r="N172" t="str">
        <v>Headquarters
45 Glover Avenue
7th Floor 
Norwalk, Connecticut    06850
United States
Main Phone: 203 810 1000</v>
      </c>
      <c r="O172" t="str">
        <f t="shared" si="7"/>
        <v>0</v>
      </c>
      <c r="P172">
        <v>8043.5</v>
      </c>
      <c r="Q172">
        <v>9310.7999999999993</v>
      </c>
      <c r="R172">
        <v>921.7</v>
      </c>
      <c r="S172" s="4">
        <f t="shared" si="8"/>
        <v>10.101768471303025</v>
      </c>
      <c r="T172">
        <v>2360.6999999999998</v>
      </c>
      <c r="U172" s="1">
        <v>0.39040000000000002</v>
      </c>
    </row>
    <row r="173" spans="1:21" x14ac:dyDescent="0.3">
      <c r="A173" t="s">
        <v>723</v>
      </c>
      <c r="B173" t="s">
        <v>724</v>
      </c>
      <c r="C173" t="s">
        <v>20</v>
      </c>
      <c r="D173" t="s">
        <v>725</v>
      </c>
      <c r="E173" t="s">
        <v>22</v>
      </c>
      <c r="F173" t="s">
        <v>43</v>
      </c>
      <c r="G173" s="6">
        <v>0</v>
      </c>
      <c r="H173" s="6">
        <v>3762</v>
      </c>
      <c r="J173" t="s">
        <v>726</v>
      </c>
      <c r="K173">
        <v>0</v>
      </c>
      <c r="L173">
        <v>1956</v>
      </c>
      <c r="M173">
        <f t="shared" si="6"/>
        <v>70</v>
      </c>
      <c r="N173" t="str">
        <v>Headquarters
5 West Mendenhall
Suite 105 
Bozeman, Montana    59715
United States
Main Phone: (406) 982-7276</v>
      </c>
      <c r="O173" t="str">
        <f t="shared" si="7"/>
        <v>0</v>
      </c>
      <c r="P173">
        <v>33433</v>
      </c>
      <c r="Q173">
        <v>36485.699999999997</v>
      </c>
      <c r="R173">
        <v>1005.7</v>
      </c>
      <c r="S173" s="4">
        <f t="shared" si="8"/>
        <v>36.278910211792777</v>
      </c>
      <c r="T173">
        <v>2062.9</v>
      </c>
      <c r="U173" s="1">
        <v>0.48749999999999999</v>
      </c>
    </row>
    <row r="174" spans="1:21" x14ac:dyDescent="0.3">
      <c r="A174" t="s">
        <v>727</v>
      </c>
      <c r="B174" t="s">
        <v>728</v>
      </c>
      <c r="C174" t="s">
        <v>41</v>
      </c>
      <c r="D174" t="s">
        <v>729</v>
      </c>
      <c r="E174" t="s">
        <v>22</v>
      </c>
      <c r="F174" t="s">
        <v>28</v>
      </c>
      <c r="G174" s="6">
        <v>0</v>
      </c>
      <c r="H174" s="6">
        <v>21602</v>
      </c>
      <c r="J174" t="s">
        <v>730</v>
      </c>
      <c r="K174">
        <v>0</v>
      </c>
      <c r="L174">
        <v>1967</v>
      </c>
      <c r="M174">
        <f t="shared" si="6"/>
        <v>59</v>
      </c>
      <c r="N174" t="str">
        <v>Headquarters
2001 Theurer Boulevard 
Winona, Minnesota    55987-1500
United States
Main Phone: 507 454 5374</v>
      </c>
      <c r="O174" t="str">
        <f t="shared" si="7"/>
        <v>0</v>
      </c>
      <c r="P174">
        <v>52869</v>
      </c>
      <c r="Q174">
        <v>53034.1</v>
      </c>
      <c r="R174">
        <v>1834.9</v>
      </c>
      <c r="S174" s="4">
        <f t="shared" si="8"/>
        <v>28.90299198866423</v>
      </c>
      <c r="T174">
        <v>8200.5</v>
      </c>
      <c r="U174" s="1">
        <v>0.2238</v>
      </c>
    </row>
    <row r="175" spans="1:21" x14ac:dyDescent="0.3">
      <c r="A175" t="s">
        <v>731</v>
      </c>
      <c r="B175" t="s">
        <v>732</v>
      </c>
      <c r="C175" t="s">
        <v>20</v>
      </c>
      <c r="D175" t="s">
        <v>733</v>
      </c>
      <c r="E175" t="s">
        <v>22</v>
      </c>
      <c r="F175" t="s">
        <v>80</v>
      </c>
      <c r="G175" s="6">
        <v>0</v>
      </c>
      <c r="H175" s="6">
        <v>317</v>
      </c>
      <c r="J175" t="s">
        <v>734</v>
      </c>
      <c r="K175">
        <v>0</v>
      </c>
      <c r="L175">
        <v>1962</v>
      </c>
      <c r="M175">
        <f t="shared" si="6"/>
        <v>64</v>
      </c>
      <c r="N175" t="str">
        <v>Headquarters
909 Rose Avenue
Suite 200 
North Bethesda, Maryland    20852-4041
United States
Main Phone: 301 998 8100
Main Fax: 301 998 3700
Other Phone: 301 998 8265</v>
      </c>
      <c r="O175" t="str">
        <f t="shared" si="7"/>
        <v>0</v>
      </c>
      <c r="P175">
        <v>9384.2000000000007</v>
      </c>
      <c r="Q175">
        <v>14714.3</v>
      </c>
      <c r="R175">
        <v>814.5</v>
      </c>
      <c r="S175" s="4">
        <f t="shared" si="8"/>
        <v>18.065438919582565</v>
      </c>
      <c r="T175">
        <v>1280.9000000000001</v>
      </c>
      <c r="U175" s="1">
        <v>0.63590000000000002</v>
      </c>
    </row>
    <row r="176" spans="1:21" x14ac:dyDescent="0.3">
      <c r="A176" t="s">
        <v>735</v>
      </c>
      <c r="B176" t="s">
        <v>736</v>
      </c>
      <c r="C176" t="s">
        <v>20</v>
      </c>
      <c r="D176" t="s">
        <v>737</v>
      </c>
      <c r="E176" t="s">
        <v>22</v>
      </c>
      <c r="F176" t="s">
        <v>28</v>
      </c>
      <c r="G176" s="6">
        <v>0</v>
      </c>
      <c r="H176" s="6">
        <v>405000</v>
      </c>
      <c r="J176" t="s">
        <v>738</v>
      </c>
      <c r="K176">
        <v>0</v>
      </c>
      <c r="L176">
        <v>1971</v>
      </c>
      <c r="M176">
        <f t="shared" si="6"/>
        <v>55</v>
      </c>
      <c r="N176" t="str">
        <v>Headquarters
942 South Shady Grove Road 
Memphis, Tennessee    38120
United States
Main Phone: 901 818 7500</v>
      </c>
      <c r="O176" t="str">
        <f t="shared" si="7"/>
        <v>0</v>
      </c>
      <c r="P176">
        <v>90992.5</v>
      </c>
      <c r="Q176">
        <v>122001.5</v>
      </c>
      <c r="R176">
        <v>11369</v>
      </c>
      <c r="S176" s="4">
        <f t="shared" si="8"/>
        <v>10.731066936406016</v>
      </c>
      <c r="T176">
        <v>90093</v>
      </c>
      <c r="U176" s="1">
        <v>0.12620000000000001</v>
      </c>
    </row>
    <row r="177" spans="1:21" x14ac:dyDescent="0.3">
      <c r="A177" t="s">
        <v>739</v>
      </c>
      <c r="B177" t="s">
        <v>740</v>
      </c>
      <c r="C177" t="s">
        <v>20</v>
      </c>
      <c r="D177" t="s">
        <v>741</v>
      </c>
      <c r="E177" t="s">
        <v>22</v>
      </c>
      <c r="F177" t="s">
        <v>53</v>
      </c>
      <c r="G177" s="6">
        <v>1</v>
      </c>
      <c r="H177" s="6">
        <v>44000</v>
      </c>
      <c r="I177" t="s">
        <v>742</v>
      </c>
      <c r="J177" t="s">
        <v>742</v>
      </c>
      <c r="K177">
        <v>1</v>
      </c>
      <c r="L177">
        <v>1968</v>
      </c>
      <c r="M177">
        <f t="shared" si="6"/>
        <v>58</v>
      </c>
      <c r="N177" t="str">
        <v>Headquarters
347 Riverside Avenue 
Jacksonville, Florida    32202
United States
Main Phone: 904 438 6000</v>
      </c>
      <c r="O177" t="str">
        <f t="shared" si="7"/>
        <v>0</v>
      </c>
      <c r="P177">
        <v>26214</v>
      </c>
      <c r="Q177">
        <v>38949</v>
      </c>
      <c r="R177">
        <v>3139</v>
      </c>
      <c r="S177" s="4">
        <f t="shared" si="8"/>
        <v>12.408091748964639</v>
      </c>
      <c r="T177">
        <v>10677</v>
      </c>
      <c r="U177" s="1">
        <v>0.29399999999999998</v>
      </c>
    </row>
    <row r="178" spans="1:21" x14ac:dyDescent="0.3">
      <c r="A178" t="s">
        <v>743</v>
      </c>
      <c r="B178" t="s">
        <v>744</v>
      </c>
      <c r="C178" t="s">
        <v>41</v>
      </c>
      <c r="D178" t="s">
        <v>745</v>
      </c>
      <c r="E178" t="s">
        <v>22</v>
      </c>
      <c r="F178" t="s">
        <v>53</v>
      </c>
      <c r="G178" s="6">
        <v>1</v>
      </c>
      <c r="H178" s="6">
        <v>18676</v>
      </c>
      <c r="J178" t="s">
        <v>746</v>
      </c>
      <c r="K178">
        <v>0</v>
      </c>
      <c r="L178">
        <v>1858</v>
      </c>
      <c r="M178">
        <f t="shared" si="6"/>
        <v>168</v>
      </c>
      <c r="N178" t="str">
        <v>Headquarters
38 Fountain Square Plaza 
Cincinnati, Ohio    45263
United States
Main Phone: 800 972 3030</v>
      </c>
      <c r="O178" t="str">
        <f t="shared" si="7"/>
        <v>0</v>
      </c>
      <c r="P178">
        <v>44613</v>
      </c>
      <c r="Q178" t="s">
        <v>91</v>
      </c>
      <c r="R178">
        <v>0</v>
      </c>
      <c r="S178" s="4" t="e">
        <f t="shared" si="8"/>
        <v>#VALUE!</v>
      </c>
      <c r="T178">
        <v>8355</v>
      </c>
      <c r="U178" s="1">
        <v>0</v>
      </c>
    </row>
    <row r="179" spans="1:21" x14ac:dyDescent="0.3">
      <c r="A179" t="s">
        <v>747</v>
      </c>
      <c r="B179" t="s">
        <v>748</v>
      </c>
      <c r="C179" t="s">
        <v>41</v>
      </c>
      <c r="D179" t="s">
        <v>749</v>
      </c>
      <c r="E179" t="s">
        <v>22</v>
      </c>
      <c r="F179" t="s">
        <v>43</v>
      </c>
      <c r="G179" s="6">
        <v>0</v>
      </c>
      <c r="H179" s="6">
        <v>7900</v>
      </c>
      <c r="J179" t="s">
        <v>750</v>
      </c>
      <c r="K179">
        <v>0</v>
      </c>
      <c r="L179">
        <v>1999</v>
      </c>
      <c r="M179">
        <f t="shared" si="6"/>
        <v>27</v>
      </c>
      <c r="N179" t="str">
        <v>Headquarters
4300 E Camelback Road
Suite 220 
Phoenix, Arizona    85018
United States
Main Phone: 602 414 9300</v>
      </c>
      <c r="O179" t="str">
        <f t="shared" si="7"/>
        <v>0</v>
      </c>
      <c r="P179">
        <v>21161.7</v>
      </c>
      <c r="Q179">
        <v>18961.7</v>
      </c>
      <c r="R179">
        <v>2126.1</v>
      </c>
      <c r="S179" s="4">
        <f t="shared" si="8"/>
        <v>8.9185362870984441</v>
      </c>
      <c r="T179">
        <v>5219.3999999999996</v>
      </c>
      <c r="U179" s="1">
        <v>0.4073</v>
      </c>
    </row>
    <row r="180" spans="1:21" x14ac:dyDescent="0.3">
      <c r="A180" t="s">
        <v>751</v>
      </c>
      <c r="B180" t="s">
        <v>752</v>
      </c>
      <c r="C180" t="s">
        <v>20</v>
      </c>
      <c r="D180" t="s">
        <v>753</v>
      </c>
      <c r="E180" t="s">
        <v>22</v>
      </c>
      <c r="F180" t="s">
        <v>89</v>
      </c>
      <c r="G180" s="6">
        <v>0</v>
      </c>
      <c r="H180" s="6">
        <v>11186</v>
      </c>
      <c r="J180" t="s">
        <v>754</v>
      </c>
      <c r="K180">
        <v>0</v>
      </c>
      <c r="L180">
        <v>1996</v>
      </c>
      <c r="M180">
        <f t="shared" si="6"/>
        <v>30</v>
      </c>
      <c r="N180" t="str">
        <v>Headquarters
341 White Pond Drive 
Akron, Ohio    44320
United States
Main Phone: 800-736-3402</v>
      </c>
      <c r="O180" t="str">
        <f t="shared" si="7"/>
        <v>0</v>
      </c>
      <c r="P180">
        <v>29567</v>
      </c>
      <c r="Q180">
        <v>57769</v>
      </c>
      <c r="R180">
        <v>5027</v>
      </c>
      <c r="S180" s="4">
        <f t="shared" si="8"/>
        <v>11.491744579271932</v>
      </c>
      <c r="T180">
        <v>14901</v>
      </c>
      <c r="U180" s="1">
        <v>0.33739999999999998</v>
      </c>
    </row>
    <row r="181" spans="1:21" x14ac:dyDescent="0.3">
      <c r="A181" t="s">
        <v>755</v>
      </c>
      <c r="B181" t="s">
        <v>756</v>
      </c>
      <c r="C181" t="s">
        <v>41</v>
      </c>
      <c r="D181" t="s">
        <v>757</v>
      </c>
      <c r="E181" t="s">
        <v>22</v>
      </c>
      <c r="F181" t="s">
        <v>53</v>
      </c>
      <c r="G181" s="6">
        <v>1</v>
      </c>
      <c r="H181" s="6">
        <v>38000</v>
      </c>
      <c r="J181" t="s">
        <v>758</v>
      </c>
      <c r="K181">
        <v>0</v>
      </c>
      <c r="L181">
        <v>1984</v>
      </c>
      <c r="M181">
        <f t="shared" si="6"/>
        <v>42</v>
      </c>
      <c r="N181" t="str">
        <v>Headquarters
600 N. Vel R. Phillips Avenue 
Milwaukee, Wisconsin    53203
United States
Main Phone: 262 879 5000</v>
      </c>
      <c r="O181" t="str">
        <f t="shared" si="7"/>
        <v>0</v>
      </c>
      <c r="P181">
        <v>33311.300000000003</v>
      </c>
      <c r="Q181">
        <v>62290.3</v>
      </c>
      <c r="R181">
        <v>8859</v>
      </c>
      <c r="S181" s="4">
        <f t="shared" si="8"/>
        <v>7.031301501298115</v>
      </c>
      <c r="T181">
        <v>21193</v>
      </c>
      <c r="U181" s="1">
        <v>0.41799999999999998</v>
      </c>
    </row>
    <row r="182" spans="1:21" x14ac:dyDescent="0.3">
      <c r="A182" t="s">
        <v>759</v>
      </c>
      <c r="B182" t="s">
        <v>760</v>
      </c>
      <c r="C182" t="s">
        <v>20</v>
      </c>
      <c r="D182" t="s">
        <v>761</v>
      </c>
      <c r="E182" t="s">
        <v>22</v>
      </c>
      <c r="F182" t="s">
        <v>67</v>
      </c>
      <c r="G182" s="6">
        <v>0</v>
      </c>
      <c r="H182" s="6">
        <v>169000</v>
      </c>
      <c r="J182" t="s">
        <v>762</v>
      </c>
      <c r="K182">
        <v>0</v>
      </c>
      <c r="L182">
        <v>1903</v>
      </c>
      <c r="M182">
        <f t="shared" si="6"/>
        <v>123</v>
      </c>
      <c r="N182" t="str">
        <v>Headquarters
One American Road
P.O. Box 1899 
Dearborn, Michigan    48126-1899
United States
Main Phone: 313 322 3000</v>
      </c>
      <c r="O182" t="str">
        <f t="shared" si="7"/>
        <v>0</v>
      </c>
      <c r="P182">
        <v>56211.7</v>
      </c>
      <c r="Q182">
        <v>193544.7</v>
      </c>
      <c r="R182">
        <v>5393</v>
      </c>
      <c r="S182" s="4">
        <f t="shared" si="8"/>
        <v>35.88813276469498</v>
      </c>
      <c r="T182">
        <v>187267</v>
      </c>
      <c r="U182" s="1">
        <v>2.8799999999999999E-2</v>
      </c>
    </row>
    <row r="183" spans="1:21" x14ac:dyDescent="0.3">
      <c r="A183" t="s">
        <v>763</v>
      </c>
      <c r="B183" t="s">
        <v>764</v>
      </c>
      <c r="C183" t="s">
        <v>41</v>
      </c>
      <c r="D183" t="s">
        <v>765</v>
      </c>
      <c r="E183" t="s">
        <v>22</v>
      </c>
      <c r="F183" t="s">
        <v>43</v>
      </c>
      <c r="G183" s="6">
        <v>0</v>
      </c>
      <c r="H183" s="6">
        <v>15109</v>
      </c>
      <c r="J183" t="s">
        <v>766</v>
      </c>
      <c r="K183">
        <v>0</v>
      </c>
      <c r="L183">
        <v>2000</v>
      </c>
      <c r="M183">
        <f t="shared" si="6"/>
        <v>26</v>
      </c>
      <c r="N183" t="str">
        <v>Headquarters
909 Kifer Road 
Sunnyvale, California    94086
United States
Main Phone: 408 235 7700
Main Fax: 408 235 7737</v>
      </c>
      <c r="O183" t="str">
        <f t="shared" si="7"/>
        <v>1</v>
      </c>
      <c r="P183">
        <v>58476.2</v>
      </c>
      <c r="Q183">
        <v>55955.5</v>
      </c>
      <c r="R183">
        <v>2226.3000000000002</v>
      </c>
      <c r="S183" s="4">
        <f t="shared" si="8"/>
        <v>25.133854377217805</v>
      </c>
      <c r="T183">
        <v>6799.6</v>
      </c>
      <c r="U183" s="1">
        <v>0.32740000000000002</v>
      </c>
    </row>
    <row r="184" spans="1:21" x14ac:dyDescent="0.3">
      <c r="A184" t="s">
        <v>767</v>
      </c>
      <c r="B184" t="s">
        <v>768</v>
      </c>
      <c r="C184" t="s">
        <v>20</v>
      </c>
      <c r="D184" t="s">
        <v>769</v>
      </c>
      <c r="E184" t="s">
        <v>22</v>
      </c>
      <c r="F184" t="s">
        <v>28</v>
      </c>
      <c r="G184" s="6">
        <v>0</v>
      </c>
      <c r="H184" s="6">
        <v>10000</v>
      </c>
      <c r="J184" t="s">
        <v>770</v>
      </c>
      <c r="K184">
        <v>0</v>
      </c>
      <c r="L184">
        <v>2015</v>
      </c>
      <c r="M184">
        <f t="shared" si="6"/>
        <v>11</v>
      </c>
      <c r="N184" t="str">
        <v>Headquarters
6920 Seaway Boulevard 
Everett, Washington    98203
United States
Main Phone: 425 446 5000</v>
      </c>
      <c r="O184" t="str">
        <f t="shared" si="7"/>
        <v>0</v>
      </c>
      <c r="P184">
        <v>18225.3</v>
      </c>
      <c r="Q184">
        <v>21164.1</v>
      </c>
      <c r="R184">
        <v>1158.2</v>
      </c>
      <c r="S184" s="4">
        <f t="shared" si="8"/>
        <v>18.273268865480915</v>
      </c>
      <c r="T184">
        <v>4159.1000000000004</v>
      </c>
      <c r="U184" s="1">
        <v>0.27850000000000003</v>
      </c>
    </row>
    <row r="185" spans="1:21" x14ac:dyDescent="0.3">
      <c r="A185" t="s">
        <v>771</v>
      </c>
      <c r="B185" t="s">
        <v>772</v>
      </c>
      <c r="C185" t="s">
        <v>41</v>
      </c>
      <c r="D185" t="s">
        <v>773</v>
      </c>
      <c r="E185" t="s">
        <v>22</v>
      </c>
      <c r="F185" t="s">
        <v>95</v>
      </c>
      <c r="G185" s="6">
        <v>0</v>
      </c>
      <c r="H185" s="6">
        <v>10400</v>
      </c>
      <c r="J185" t="s">
        <v>774</v>
      </c>
      <c r="K185">
        <v>0</v>
      </c>
      <c r="L185">
        <v>2018</v>
      </c>
      <c r="M185">
        <f t="shared" si="6"/>
        <v>8</v>
      </c>
      <c r="N185" t="str">
        <v>Headquarters
1211 Avenue of the Americas 
New York, New York    10036
United States
Main Phone: 212 852 7000</v>
      </c>
      <c r="O185" t="str">
        <f t="shared" si="7"/>
        <v>0</v>
      </c>
      <c r="P185">
        <v>22930.9</v>
      </c>
      <c r="Q185">
        <v>28602.9</v>
      </c>
      <c r="R185">
        <v>3533</v>
      </c>
      <c r="S185" s="4">
        <f t="shared" si="8"/>
        <v>8.0959241437871494</v>
      </c>
      <c r="T185">
        <v>16578</v>
      </c>
      <c r="U185" s="1">
        <v>0.21310000000000001</v>
      </c>
    </row>
    <row r="186" spans="1:21" x14ac:dyDescent="0.3">
      <c r="A186" t="s">
        <v>775</v>
      </c>
      <c r="B186" t="s">
        <v>776</v>
      </c>
      <c r="C186" t="s">
        <v>20</v>
      </c>
      <c r="D186" t="s">
        <v>777</v>
      </c>
      <c r="E186" t="s">
        <v>22</v>
      </c>
      <c r="F186" t="s">
        <v>53</v>
      </c>
      <c r="G186" s="6">
        <v>1</v>
      </c>
      <c r="H186" s="6">
        <v>9900</v>
      </c>
      <c r="I186" t="s">
        <v>778</v>
      </c>
      <c r="J186" t="s">
        <v>779</v>
      </c>
      <c r="K186">
        <v>1</v>
      </c>
      <c r="L186">
        <v>1947</v>
      </c>
      <c r="M186">
        <f t="shared" si="6"/>
        <v>79</v>
      </c>
      <c r="N186" t="str">
        <v>Headquarters
One Franklin Parkway 
San Mateo, California    94403
United States
Main Phone: 650-312-2000</v>
      </c>
      <c r="O186" t="str">
        <f t="shared" si="7"/>
        <v>1</v>
      </c>
      <c r="P186">
        <v>13821.1</v>
      </c>
      <c r="Q186">
        <v>16945.099999999999</v>
      </c>
      <c r="R186">
        <v>1702.6</v>
      </c>
      <c r="S186" s="4">
        <f t="shared" si="8"/>
        <v>9.9524844355691293</v>
      </c>
      <c r="T186">
        <v>8846.2000000000007</v>
      </c>
      <c r="U186" s="1">
        <v>0.1925</v>
      </c>
    </row>
    <row r="187" spans="1:21" x14ac:dyDescent="0.3">
      <c r="A187" t="s">
        <v>780</v>
      </c>
      <c r="B187" t="s">
        <v>781</v>
      </c>
      <c r="C187" t="s">
        <v>20</v>
      </c>
      <c r="D187" t="s">
        <v>782</v>
      </c>
      <c r="E187" t="s">
        <v>22</v>
      </c>
      <c r="F187" t="s">
        <v>62</v>
      </c>
      <c r="G187" s="6">
        <v>0</v>
      </c>
      <c r="H187" s="6">
        <v>29000</v>
      </c>
      <c r="I187" t="s">
        <v>783</v>
      </c>
      <c r="J187" t="s">
        <v>783</v>
      </c>
      <c r="K187">
        <v>1</v>
      </c>
      <c r="L187">
        <v>1987</v>
      </c>
      <c r="M187">
        <f t="shared" si="6"/>
        <v>39</v>
      </c>
      <c r="N187" t="str">
        <v>Headquarters
4340 E. Cotton Center Blvd.
Suite 110 
Phoenix, Arizona    85040-8852
United States
Main Phone: 602 366 8100</v>
      </c>
      <c r="O187" t="str">
        <f t="shared" si="7"/>
        <v>0</v>
      </c>
      <c r="P187">
        <v>97844.7</v>
      </c>
      <c r="Q187">
        <v>116379.7</v>
      </c>
      <c r="R187">
        <v>9101</v>
      </c>
      <c r="S187" s="4">
        <f t="shared" si="8"/>
        <v>12.787572794198439</v>
      </c>
      <c r="T187">
        <v>25915</v>
      </c>
      <c r="U187" s="1">
        <v>0.35120000000000001</v>
      </c>
    </row>
    <row r="188" spans="1:21" x14ac:dyDescent="0.3">
      <c r="A188" t="s">
        <v>784</v>
      </c>
      <c r="B188" t="s">
        <v>785</v>
      </c>
      <c r="C188" t="s">
        <v>20</v>
      </c>
      <c r="D188" t="s">
        <v>786</v>
      </c>
      <c r="E188" t="s">
        <v>22</v>
      </c>
      <c r="F188" t="s">
        <v>43</v>
      </c>
      <c r="G188" s="6">
        <v>0</v>
      </c>
      <c r="H188" s="6">
        <v>20244</v>
      </c>
      <c r="J188" t="s">
        <v>787</v>
      </c>
      <c r="K188">
        <v>0</v>
      </c>
      <c r="L188">
        <v>1979</v>
      </c>
      <c r="M188">
        <f t="shared" si="6"/>
        <v>47</v>
      </c>
      <c r="N188" t="str">
        <v>Headquarters
56 Top Gallant Road
PO Box 10212 
Stamford, Connecticut    06902-7700
United States
Main Phone: 203 964 0096</v>
      </c>
      <c r="O188" t="str">
        <f t="shared" si="7"/>
        <v>0</v>
      </c>
      <c r="P188">
        <v>11074.8</v>
      </c>
      <c r="Q188">
        <v>12700.2</v>
      </c>
      <c r="R188">
        <v>1310.5</v>
      </c>
      <c r="S188" s="4">
        <f t="shared" si="8"/>
        <v>9.6911102632582988</v>
      </c>
      <c r="T188">
        <v>6497.2</v>
      </c>
      <c r="U188" s="1">
        <v>0.20169999999999999</v>
      </c>
    </row>
    <row r="189" spans="1:21" x14ac:dyDescent="0.3">
      <c r="A189" t="s">
        <v>788</v>
      </c>
      <c r="B189" t="s">
        <v>789</v>
      </c>
      <c r="C189" t="s">
        <v>41</v>
      </c>
      <c r="D189" t="s">
        <v>790</v>
      </c>
      <c r="E189" t="s">
        <v>22</v>
      </c>
      <c r="F189" t="s">
        <v>33</v>
      </c>
      <c r="G189" s="6">
        <v>0</v>
      </c>
      <c r="H189" s="6">
        <v>54000</v>
      </c>
      <c r="J189" t="s">
        <v>791</v>
      </c>
      <c r="K189">
        <v>0</v>
      </c>
      <c r="L189">
        <v>2022</v>
      </c>
      <c r="M189">
        <f t="shared" si="6"/>
        <v>4</v>
      </c>
      <c r="N189" t="str">
        <v>Headquarters
500 West Monroe Street 
Chicago, Illinois    60661
United States
Main Phone: 833 735 1139</v>
      </c>
      <c r="O189" t="str">
        <f t="shared" si="7"/>
        <v>0</v>
      </c>
      <c r="P189">
        <v>38406</v>
      </c>
      <c r="Q189">
        <v>44597</v>
      </c>
      <c r="R189">
        <v>3642</v>
      </c>
      <c r="S189" s="4">
        <f t="shared" si="8"/>
        <v>12.245194947830862</v>
      </c>
      <c r="T189">
        <v>20625</v>
      </c>
      <c r="U189" s="1">
        <v>0.17660000000000001</v>
      </c>
    </row>
    <row r="190" spans="1:21" x14ac:dyDescent="0.3">
      <c r="A190" t="s">
        <v>792</v>
      </c>
      <c r="B190" t="s">
        <v>793</v>
      </c>
      <c r="C190" t="s">
        <v>20</v>
      </c>
      <c r="D190" t="s">
        <v>794</v>
      </c>
      <c r="E190" t="s">
        <v>22</v>
      </c>
      <c r="F190" t="s">
        <v>28</v>
      </c>
      <c r="G190" s="6">
        <v>0</v>
      </c>
      <c r="H190" s="6">
        <v>78000</v>
      </c>
      <c r="J190" t="s">
        <v>795</v>
      </c>
      <c r="K190">
        <v>0</v>
      </c>
      <c r="L190">
        <v>2023</v>
      </c>
      <c r="M190">
        <f t="shared" si="6"/>
        <v>3</v>
      </c>
      <c r="N190" t="str">
        <v>Headquarters
58 Charles Street 
Cambridge, Massachusetts    02141
United States
Main Phone: 617 674 7555</v>
      </c>
      <c r="O190" t="str">
        <f t="shared" si="7"/>
        <v>0</v>
      </c>
      <c r="P190">
        <v>235460.9</v>
      </c>
      <c r="Q190">
        <v>228839.9</v>
      </c>
      <c r="R190">
        <v>2995</v>
      </c>
      <c r="S190" s="4">
        <f t="shared" si="8"/>
        <v>76.407312186978302</v>
      </c>
      <c r="T190">
        <v>38068</v>
      </c>
      <c r="U190" s="1">
        <v>7.8700000000000006E-2</v>
      </c>
    </row>
    <row r="191" spans="1:21" x14ac:dyDescent="0.3">
      <c r="A191" t="s">
        <v>796</v>
      </c>
      <c r="B191" t="s">
        <v>797</v>
      </c>
      <c r="C191" t="s">
        <v>41</v>
      </c>
      <c r="D191" t="s">
        <v>798</v>
      </c>
      <c r="E191" t="s">
        <v>22</v>
      </c>
      <c r="F191" t="s">
        <v>43</v>
      </c>
      <c r="G191" s="6">
        <v>0</v>
      </c>
      <c r="H191" s="6">
        <v>3500</v>
      </c>
      <c r="J191" t="s">
        <v>799</v>
      </c>
      <c r="K191">
        <v>0</v>
      </c>
      <c r="L191">
        <v>1982</v>
      </c>
      <c r="M191">
        <f t="shared" si="6"/>
        <v>44</v>
      </c>
      <c r="N191" t="str">
        <v>Headquarters
60 East Rio Salado Parkway
Suite 1000 
Tempe, Arizona    85281
United States
Main Phone: 650 527 8000</v>
      </c>
      <c r="O191" t="str">
        <f t="shared" si="7"/>
        <v>0</v>
      </c>
      <c r="P191">
        <v>13669.8</v>
      </c>
      <c r="Q191">
        <v>21527.8</v>
      </c>
      <c r="R191">
        <v>2013</v>
      </c>
      <c r="S191" s="4">
        <f t="shared" si="8"/>
        <v>10.69438648782911</v>
      </c>
      <c r="T191">
        <v>4727</v>
      </c>
      <c r="U191" s="1">
        <v>0.4259</v>
      </c>
    </row>
    <row r="192" spans="1:21" x14ac:dyDescent="0.3">
      <c r="A192" t="s">
        <v>800</v>
      </c>
      <c r="B192" t="s">
        <v>801</v>
      </c>
      <c r="C192" t="s">
        <v>20</v>
      </c>
      <c r="D192" t="s">
        <v>802</v>
      </c>
      <c r="E192" t="s">
        <v>22</v>
      </c>
      <c r="F192" t="s">
        <v>28</v>
      </c>
      <c r="G192" s="6">
        <v>0</v>
      </c>
      <c r="H192" s="6">
        <v>9400</v>
      </c>
      <c r="J192" t="s">
        <v>803</v>
      </c>
      <c r="K192">
        <v>0</v>
      </c>
      <c r="L192">
        <v>1959</v>
      </c>
      <c r="M192">
        <f t="shared" si="6"/>
        <v>67</v>
      </c>
      <c r="N192" t="str">
        <v>Headquarters
S45 W29290 Highway 59 
Waukesha, Wisconsin    53189
United States
Main Phone: 262 544 4811</v>
      </c>
      <c r="O192" t="str">
        <f t="shared" si="7"/>
        <v>0</v>
      </c>
      <c r="P192">
        <v>13223.8</v>
      </c>
      <c r="Q192">
        <v>14273.9</v>
      </c>
      <c r="R192">
        <v>484</v>
      </c>
      <c r="S192" s="4">
        <f t="shared" si="8"/>
        <v>29.491528925619836</v>
      </c>
      <c r="T192">
        <v>4209.1000000000004</v>
      </c>
      <c r="U192" s="1">
        <v>0.115</v>
      </c>
    </row>
    <row r="193" spans="1:21" x14ac:dyDescent="0.3">
      <c r="A193" t="s">
        <v>804</v>
      </c>
      <c r="B193" t="s">
        <v>805</v>
      </c>
      <c r="C193" t="s">
        <v>20</v>
      </c>
      <c r="D193" t="s">
        <v>806</v>
      </c>
      <c r="E193" t="s">
        <v>22</v>
      </c>
      <c r="F193" t="s">
        <v>28</v>
      </c>
      <c r="G193" s="6">
        <v>0</v>
      </c>
      <c r="H193" s="6">
        <v>117000</v>
      </c>
      <c r="I193" t="s">
        <v>807</v>
      </c>
      <c r="J193" t="s">
        <v>807</v>
      </c>
      <c r="K193">
        <v>1</v>
      </c>
      <c r="L193">
        <v>1899</v>
      </c>
      <c r="M193">
        <f t="shared" si="6"/>
        <v>127</v>
      </c>
      <c r="N193" t="str">
        <v>Headquarters
11011 Sunset Hills Road 
Reston, Virginia    20190
United States
Main Phone: 703 876 3000</v>
      </c>
      <c r="O193" t="str">
        <f t="shared" si="7"/>
        <v>0</v>
      </c>
      <c r="P193">
        <v>96397.3</v>
      </c>
      <c r="Q193">
        <v>103853.3</v>
      </c>
      <c r="R193">
        <v>6344</v>
      </c>
      <c r="S193" s="4">
        <f t="shared" si="8"/>
        <v>16.370318411097099</v>
      </c>
      <c r="T193">
        <v>52550</v>
      </c>
      <c r="U193" s="1">
        <v>0.1207</v>
      </c>
    </row>
    <row r="194" spans="1:21" x14ac:dyDescent="0.3">
      <c r="A194" t="s">
        <v>808</v>
      </c>
      <c r="B194" t="s">
        <v>809</v>
      </c>
      <c r="C194" t="s">
        <v>20</v>
      </c>
      <c r="D194" t="s">
        <v>810</v>
      </c>
      <c r="E194" t="s">
        <v>22</v>
      </c>
      <c r="F194" t="s">
        <v>28</v>
      </c>
      <c r="G194" s="6">
        <v>0</v>
      </c>
      <c r="H194" s="6">
        <v>57000</v>
      </c>
      <c r="J194" t="s">
        <v>811</v>
      </c>
      <c r="K194">
        <v>0</v>
      </c>
      <c r="L194">
        <v>1892</v>
      </c>
      <c r="M194">
        <f t="shared" si="6"/>
        <v>134</v>
      </c>
      <c r="N194" t="str">
        <v>Headquarters
1 Neumann Way 
Evendale, Ohio    45215
United States
Main Phone: (513) 243-2000</v>
      </c>
      <c r="O194" t="str">
        <f t="shared" si="7"/>
        <v>0</v>
      </c>
      <c r="P194">
        <v>358966.9</v>
      </c>
      <c r="Q194">
        <v>368752.9</v>
      </c>
      <c r="R194">
        <v>10703</v>
      </c>
      <c r="S194" s="4">
        <f t="shared" si="8"/>
        <v>34.453228066897132</v>
      </c>
      <c r="T194">
        <v>45855</v>
      </c>
      <c r="U194" s="1">
        <v>0.2334</v>
      </c>
    </row>
    <row r="195" spans="1:21" x14ac:dyDescent="0.3">
      <c r="A195" t="s">
        <v>812</v>
      </c>
      <c r="B195" t="s">
        <v>813</v>
      </c>
      <c r="C195" t="s">
        <v>20</v>
      </c>
      <c r="D195" t="s">
        <v>814</v>
      </c>
      <c r="E195" t="s">
        <v>22</v>
      </c>
      <c r="F195" t="s">
        <v>100</v>
      </c>
      <c r="G195" s="6">
        <v>0</v>
      </c>
      <c r="H195" s="6">
        <v>33000</v>
      </c>
      <c r="J195" t="s">
        <v>815</v>
      </c>
      <c r="K195">
        <v>0</v>
      </c>
      <c r="L195">
        <v>1866</v>
      </c>
      <c r="M195">
        <f t="shared" ref="M195:M258" si="9">2026-L195</f>
        <v>160</v>
      </c>
      <c r="N195" t="str">
        <v>Headquarters
Number One General Mills Boulevard 
Minneapolis, Minnesota    55426
United States
Main Phone: 763 764 7600</v>
      </c>
      <c r="O195" t="str">
        <f t="shared" ref="O195:O258" si="10">IF(ISNUMBER(SEARCH("california",N195)),"1","0")</f>
        <v>0</v>
      </c>
      <c r="P195">
        <v>24133.9</v>
      </c>
      <c r="Q195">
        <v>37197.699999999997</v>
      </c>
      <c r="R195">
        <v>3543.9</v>
      </c>
      <c r="S195" s="4">
        <f t="shared" ref="S195:S258" si="11">Q195/R195</f>
        <v>10.49626118118457</v>
      </c>
      <c r="T195">
        <v>18776.7</v>
      </c>
      <c r="U195" s="1">
        <v>0.18870000000000001</v>
      </c>
    </row>
    <row r="196" spans="1:21" x14ac:dyDescent="0.3">
      <c r="A196" t="s">
        <v>816</v>
      </c>
      <c r="B196" t="s">
        <v>817</v>
      </c>
      <c r="C196" t="s">
        <v>20</v>
      </c>
      <c r="D196" t="s">
        <v>818</v>
      </c>
      <c r="E196" t="s">
        <v>22</v>
      </c>
      <c r="F196" t="s">
        <v>67</v>
      </c>
      <c r="G196" s="6">
        <v>0</v>
      </c>
      <c r="H196" s="6">
        <v>156000</v>
      </c>
      <c r="I196" t="s">
        <v>819</v>
      </c>
      <c r="J196" t="s">
        <v>819</v>
      </c>
      <c r="K196">
        <v>1</v>
      </c>
      <c r="L196">
        <v>1908</v>
      </c>
      <c r="M196">
        <f t="shared" si="9"/>
        <v>118</v>
      </c>
      <c r="N196" t="str">
        <v>Headquarters
1240 Woodward Avenue 
Detroit, Michigan    48265
United States
Main Phone: 313 667 1500</v>
      </c>
      <c r="O196" t="str">
        <f t="shared" si="10"/>
        <v>0</v>
      </c>
      <c r="P196">
        <v>71151.3</v>
      </c>
      <c r="Q196">
        <v>177109.3</v>
      </c>
      <c r="R196">
        <v>17629</v>
      </c>
      <c r="S196" s="4">
        <f t="shared" si="11"/>
        <v>10.04647455896534</v>
      </c>
      <c r="T196">
        <v>185019</v>
      </c>
      <c r="U196" s="1">
        <v>9.5299999999999996E-2</v>
      </c>
    </row>
    <row r="197" spans="1:21" x14ac:dyDescent="0.3">
      <c r="A197" t="s">
        <v>820</v>
      </c>
      <c r="B197" t="s">
        <v>821</v>
      </c>
      <c r="C197" t="s">
        <v>20</v>
      </c>
      <c r="D197" t="s">
        <v>822</v>
      </c>
      <c r="E197" t="s">
        <v>22</v>
      </c>
      <c r="F197" t="s">
        <v>67</v>
      </c>
      <c r="G197" s="6">
        <v>0</v>
      </c>
      <c r="H197" s="6">
        <v>65000</v>
      </c>
      <c r="J197" t="s">
        <v>823</v>
      </c>
      <c r="K197">
        <v>0</v>
      </c>
      <c r="L197">
        <v>1928</v>
      </c>
      <c r="M197">
        <f t="shared" si="9"/>
        <v>98</v>
      </c>
      <c r="N197" t="str">
        <v>Headquarters
2999 Wildwood Parkway 
Atlanta, Georgia    30339
United States
Main Phone: 678 934 5000</v>
      </c>
      <c r="O197" t="str">
        <f t="shared" si="10"/>
        <v>0</v>
      </c>
      <c r="P197">
        <v>16591.7</v>
      </c>
      <c r="Q197">
        <v>23061.7</v>
      </c>
      <c r="R197">
        <v>2014.1</v>
      </c>
      <c r="S197" s="4">
        <f t="shared" si="11"/>
        <v>11.450126607417706</v>
      </c>
      <c r="T197">
        <v>24300.1</v>
      </c>
      <c r="U197" s="1">
        <v>8.2900000000000001E-2</v>
      </c>
    </row>
    <row r="198" spans="1:21" x14ac:dyDescent="0.3">
      <c r="A198" t="s">
        <v>824</v>
      </c>
      <c r="B198" t="s">
        <v>825</v>
      </c>
      <c r="C198" t="s">
        <v>41</v>
      </c>
      <c r="D198" t="s">
        <v>826</v>
      </c>
      <c r="E198" t="s">
        <v>22</v>
      </c>
      <c r="F198" t="s">
        <v>33</v>
      </c>
      <c r="G198" s="6">
        <v>0</v>
      </c>
      <c r="H198" s="6">
        <v>17000</v>
      </c>
      <c r="J198" t="s">
        <v>827</v>
      </c>
      <c r="K198">
        <v>0</v>
      </c>
      <c r="L198">
        <v>1987</v>
      </c>
      <c r="M198">
        <f t="shared" si="9"/>
        <v>39</v>
      </c>
      <c r="N198" t="str">
        <v>Headquarters
333 Lakeside Drive 
Foster City, California    94404
United States
Main Phone: 650 574 3000
Main Fax: 650 522 5853</v>
      </c>
      <c r="O198" t="str">
        <f t="shared" si="10"/>
        <v>1</v>
      </c>
      <c r="P198">
        <v>184909.6</v>
      </c>
      <c r="Q198">
        <v>197779.6</v>
      </c>
      <c r="R198">
        <v>14577</v>
      </c>
      <c r="S198" s="4">
        <f t="shared" si="11"/>
        <v>13.567922069012829</v>
      </c>
      <c r="T198">
        <v>29443</v>
      </c>
      <c r="U198" s="1">
        <v>0.49509999999999998</v>
      </c>
    </row>
    <row r="199" spans="1:21" x14ac:dyDescent="0.3">
      <c r="A199" t="s">
        <v>828</v>
      </c>
      <c r="B199" t="s">
        <v>829</v>
      </c>
      <c r="C199" t="s">
        <v>20</v>
      </c>
      <c r="D199" t="s">
        <v>830</v>
      </c>
      <c r="E199" t="s">
        <v>22</v>
      </c>
      <c r="F199" t="s">
        <v>53</v>
      </c>
      <c r="G199" s="6">
        <v>1</v>
      </c>
      <c r="H199" s="6">
        <v>26000</v>
      </c>
      <c r="J199" t="s">
        <v>831</v>
      </c>
      <c r="K199">
        <v>0</v>
      </c>
      <c r="L199">
        <v>1967</v>
      </c>
      <c r="M199">
        <f t="shared" si="9"/>
        <v>59</v>
      </c>
      <c r="N199" t="str">
        <v>Headquarters
3550 Lenox Road
Suite 3000 
Atlanta, Georgia    30326
United States
Main Phone: 770 829 8000</v>
      </c>
      <c r="O199" t="str">
        <f t="shared" si="10"/>
        <v>0</v>
      </c>
      <c r="P199">
        <v>21401.3</v>
      </c>
      <c r="Q199">
        <v>36145.599999999999</v>
      </c>
      <c r="R199">
        <v>3439.1</v>
      </c>
      <c r="S199" s="4">
        <f t="shared" si="11"/>
        <v>10.510191619900555</v>
      </c>
      <c r="T199">
        <v>7705.9</v>
      </c>
      <c r="U199" s="1">
        <v>0.44629999999999997</v>
      </c>
    </row>
    <row r="200" spans="1:21" x14ac:dyDescent="0.3">
      <c r="A200" t="s">
        <v>832</v>
      </c>
      <c r="B200" t="s">
        <v>833</v>
      </c>
      <c r="C200" t="s">
        <v>20</v>
      </c>
      <c r="D200" t="s">
        <v>834</v>
      </c>
      <c r="E200" t="s">
        <v>22</v>
      </c>
      <c r="F200" t="s">
        <v>53</v>
      </c>
      <c r="G200" s="6">
        <v>1</v>
      </c>
      <c r="H200" s="6">
        <v>3695</v>
      </c>
      <c r="J200" t="s">
        <v>835</v>
      </c>
      <c r="K200">
        <v>0</v>
      </c>
      <c r="L200">
        <v>1900</v>
      </c>
      <c r="M200">
        <f t="shared" si="9"/>
        <v>126</v>
      </c>
      <c r="N200" t="str">
        <v>Headquarters
7677 Henneman Way 
McKinney, Texas    75070
United States
Main Phone: 972 569 4000
Main Fax: 972 569 3282</v>
      </c>
      <c r="O200" t="str">
        <f t="shared" si="10"/>
        <v>0</v>
      </c>
      <c r="P200">
        <v>11422.8</v>
      </c>
      <c r="Q200">
        <v>14340.6</v>
      </c>
      <c r="R200">
        <v>1624.2</v>
      </c>
      <c r="S200" s="4">
        <f t="shared" si="11"/>
        <v>8.8293313631326189</v>
      </c>
      <c r="T200">
        <v>5994.3</v>
      </c>
      <c r="U200" s="1">
        <v>0.27100000000000002</v>
      </c>
    </row>
    <row r="201" spans="1:21" x14ac:dyDescent="0.3">
      <c r="A201" t="s">
        <v>836</v>
      </c>
      <c r="B201" t="s">
        <v>837</v>
      </c>
      <c r="C201" t="s">
        <v>20</v>
      </c>
      <c r="D201" t="s">
        <v>838</v>
      </c>
      <c r="E201" t="s">
        <v>22</v>
      </c>
      <c r="F201" t="s">
        <v>43</v>
      </c>
      <c r="G201" s="6">
        <v>0</v>
      </c>
      <c r="H201" s="6">
        <v>5845</v>
      </c>
      <c r="J201" t="s">
        <v>839</v>
      </c>
      <c r="K201">
        <v>0</v>
      </c>
      <c r="L201">
        <v>1997</v>
      </c>
      <c r="M201">
        <f t="shared" si="9"/>
        <v>29</v>
      </c>
      <c r="N201" t="str">
        <v>Headquarters
100 S. Mill Ave
Suite 1600 
Tempe, Arizona    85281
United States
Main Phone: 480 505 8800</v>
      </c>
      <c r="O201" t="str">
        <f t="shared" si="10"/>
        <v>0</v>
      </c>
      <c r="P201">
        <v>11623.1</v>
      </c>
      <c r="Q201">
        <v>14355.6</v>
      </c>
      <c r="R201">
        <v>1255</v>
      </c>
      <c r="S201" s="4">
        <f t="shared" si="11"/>
        <v>11.438725099601594</v>
      </c>
      <c r="T201">
        <v>4951.1000000000004</v>
      </c>
      <c r="U201" s="1">
        <v>0.2535</v>
      </c>
    </row>
    <row r="202" spans="1:21" x14ac:dyDescent="0.3">
      <c r="A202" t="s">
        <v>840</v>
      </c>
      <c r="B202" t="s">
        <v>841</v>
      </c>
      <c r="C202" t="s">
        <v>20</v>
      </c>
      <c r="D202" t="s">
        <v>842</v>
      </c>
      <c r="E202" t="s">
        <v>22</v>
      </c>
      <c r="F202" t="s">
        <v>153</v>
      </c>
      <c r="G202" s="6">
        <v>0</v>
      </c>
      <c r="H202" s="6">
        <v>46000</v>
      </c>
      <c r="J202" t="s">
        <v>843</v>
      </c>
      <c r="K202">
        <v>0</v>
      </c>
      <c r="L202">
        <v>1919</v>
      </c>
      <c r="M202">
        <f t="shared" si="9"/>
        <v>107</v>
      </c>
      <c r="N202" t="str">
        <v>Headquarters
3000 North Sam Houston Parkway East 
Houston, Texas    77032
United States
Main Phone: 281 871 2699</v>
      </c>
      <c r="O202" t="str">
        <f t="shared" si="10"/>
        <v>0</v>
      </c>
      <c r="P202">
        <v>30151.5</v>
      </c>
      <c r="Q202">
        <v>36305.5</v>
      </c>
      <c r="R202">
        <v>4121</v>
      </c>
      <c r="S202" s="4">
        <f t="shared" si="11"/>
        <v>8.8098762436301872</v>
      </c>
      <c r="T202">
        <v>22184</v>
      </c>
      <c r="U202" s="1">
        <v>0.18579999999999999</v>
      </c>
    </row>
    <row r="203" spans="1:21" x14ac:dyDescent="0.3">
      <c r="A203" t="s">
        <v>844</v>
      </c>
      <c r="B203" t="s">
        <v>845</v>
      </c>
      <c r="C203" t="s">
        <v>41</v>
      </c>
      <c r="D203" t="s">
        <v>846</v>
      </c>
      <c r="E203" t="s">
        <v>22</v>
      </c>
      <c r="F203" t="s">
        <v>67</v>
      </c>
      <c r="G203" s="6">
        <v>0</v>
      </c>
      <c r="H203" s="6">
        <v>4520</v>
      </c>
      <c r="J203" t="s">
        <v>847</v>
      </c>
      <c r="K203">
        <v>0</v>
      </c>
      <c r="L203">
        <v>1923</v>
      </c>
      <c r="M203">
        <f t="shared" si="9"/>
        <v>103</v>
      </c>
      <c r="N203" t="str">
        <v>Headquarters
1027 Newport Avenue 
Pawtucket, Rhode Island    02861
United States
Main Phone: 401 431 8697</v>
      </c>
      <c r="O203" t="str">
        <f t="shared" si="10"/>
        <v>0</v>
      </c>
      <c r="P203">
        <v>14010.9</v>
      </c>
      <c r="Q203">
        <v>16552.599999999999</v>
      </c>
      <c r="R203">
        <v>1200.0999999999999</v>
      </c>
      <c r="S203" s="4">
        <f t="shared" si="11"/>
        <v>13.79268394300475</v>
      </c>
      <c r="T203">
        <v>4701.3</v>
      </c>
      <c r="U203" s="1">
        <v>0.25530000000000003</v>
      </c>
    </row>
    <row r="204" spans="1:21" x14ac:dyDescent="0.3">
      <c r="A204" t="s">
        <v>848</v>
      </c>
      <c r="B204" t="s">
        <v>849</v>
      </c>
      <c r="C204" t="s">
        <v>20</v>
      </c>
      <c r="D204" t="s">
        <v>850</v>
      </c>
      <c r="E204" t="s">
        <v>22</v>
      </c>
      <c r="F204" t="s">
        <v>33</v>
      </c>
      <c r="G204" s="6">
        <v>0</v>
      </c>
      <c r="H204" s="6">
        <v>275000</v>
      </c>
      <c r="J204" t="s">
        <v>851</v>
      </c>
      <c r="K204">
        <v>0</v>
      </c>
      <c r="L204">
        <v>1968</v>
      </c>
      <c r="M204">
        <f t="shared" si="9"/>
        <v>58</v>
      </c>
      <c r="N204" t="str">
        <v>Headquarters
One Park Plaza 
Nashville, Tennessee    37203
United States
Main Phone: 615 344 9551</v>
      </c>
      <c r="O204" t="str">
        <f t="shared" si="10"/>
        <v>0</v>
      </c>
      <c r="P204">
        <v>118414.5</v>
      </c>
      <c r="Q204">
        <v>169224.5</v>
      </c>
      <c r="R204">
        <v>15488</v>
      </c>
      <c r="S204" s="4">
        <f t="shared" si="11"/>
        <v>10.926168646694215</v>
      </c>
      <c r="T204">
        <v>75600</v>
      </c>
      <c r="U204" s="1">
        <v>0.2049</v>
      </c>
    </row>
    <row r="205" spans="1:21" x14ac:dyDescent="0.3">
      <c r="A205" t="s">
        <v>852</v>
      </c>
      <c r="B205" t="s">
        <v>853</v>
      </c>
      <c r="C205" t="s">
        <v>20</v>
      </c>
      <c r="D205" t="s">
        <v>854</v>
      </c>
      <c r="E205" t="s">
        <v>22</v>
      </c>
      <c r="F205" t="s">
        <v>80</v>
      </c>
      <c r="G205" s="6">
        <v>0</v>
      </c>
      <c r="H205" s="6">
        <v>411</v>
      </c>
      <c r="J205" t="s">
        <v>855</v>
      </c>
      <c r="K205">
        <v>0</v>
      </c>
      <c r="L205">
        <v>1985</v>
      </c>
      <c r="M205">
        <f t="shared" si="9"/>
        <v>41</v>
      </c>
      <c r="N205" t="str">
        <v>Headquarters
4600 South Syracuse Street
Suite 500 
Denver, Colorado    80237
United States
Main Phone: (720) 428-5050
Main Fax: (949) 407-0800</v>
      </c>
      <c r="O205" t="str">
        <f t="shared" si="10"/>
        <v>0</v>
      </c>
      <c r="P205">
        <v>12288.4</v>
      </c>
      <c r="Q205">
        <v>22761.8</v>
      </c>
      <c r="R205">
        <v>1555.9</v>
      </c>
      <c r="S205" s="4">
        <f t="shared" si="11"/>
        <v>14.6293463590205</v>
      </c>
      <c r="T205">
        <v>2822.5</v>
      </c>
      <c r="U205" s="1">
        <v>0.55120000000000002</v>
      </c>
    </row>
    <row r="206" spans="1:21" x14ac:dyDescent="0.3">
      <c r="A206" t="s">
        <v>856</v>
      </c>
      <c r="B206" t="s">
        <v>857</v>
      </c>
      <c r="C206" t="s">
        <v>41</v>
      </c>
      <c r="D206" t="s">
        <v>858</v>
      </c>
      <c r="E206" t="s">
        <v>22</v>
      </c>
      <c r="F206" t="s">
        <v>33</v>
      </c>
      <c r="G206" s="6">
        <v>0</v>
      </c>
      <c r="H206" s="6">
        <v>25000</v>
      </c>
      <c r="J206" t="s">
        <v>859</v>
      </c>
      <c r="K206">
        <v>0</v>
      </c>
      <c r="L206">
        <v>1932</v>
      </c>
      <c r="M206">
        <f t="shared" si="9"/>
        <v>94</v>
      </c>
      <c r="N206" t="str">
        <v>Headquarters
135 Duryea Road 
Melville, New York    11747
United States
Main Phone: 631 843 5500</v>
      </c>
      <c r="O206" t="str">
        <f t="shared" si="10"/>
        <v>0</v>
      </c>
      <c r="P206">
        <v>9450.5</v>
      </c>
      <c r="Q206">
        <v>14282.5</v>
      </c>
      <c r="R206">
        <v>1023</v>
      </c>
      <c r="S206" s="4">
        <f t="shared" si="11"/>
        <v>13.9613880742913</v>
      </c>
      <c r="T206">
        <v>13184</v>
      </c>
      <c r="U206" s="1">
        <v>7.7600000000000002E-2</v>
      </c>
    </row>
    <row r="207" spans="1:21" x14ac:dyDescent="0.3">
      <c r="A207" t="s">
        <v>860</v>
      </c>
      <c r="B207" t="s">
        <v>861</v>
      </c>
      <c r="C207" t="s">
        <v>20</v>
      </c>
      <c r="D207" t="s">
        <v>862</v>
      </c>
      <c r="E207" t="s">
        <v>22</v>
      </c>
      <c r="F207" t="s">
        <v>43</v>
      </c>
      <c r="G207" s="6">
        <v>0</v>
      </c>
      <c r="H207" s="6">
        <v>67000</v>
      </c>
      <c r="J207" t="s">
        <v>863</v>
      </c>
      <c r="K207">
        <v>0</v>
      </c>
      <c r="L207">
        <v>1939</v>
      </c>
      <c r="M207">
        <f t="shared" si="9"/>
        <v>87</v>
      </c>
      <c r="N207" t="str">
        <v>Headquarters
1701 East Mossy Oaks Road 
Spring, Texas    77389
United States
Main Phone: 678 259 9860</v>
      </c>
      <c r="O207" t="str">
        <f t="shared" si="10"/>
        <v>0</v>
      </c>
      <c r="P207">
        <v>28529.5</v>
      </c>
      <c r="Q207">
        <v>47626.5</v>
      </c>
      <c r="R207">
        <v>4491</v>
      </c>
      <c r="S207" s="4">
        <f t="shared" si="11"/>
        <v>10.604876419505677</v>
      </c>
      <c r="T207">
        <v>34296</v>
      </c>
      <c r="U207" s="1">
        <v>0.13089999999999999</v>
      </c>
    </row>
    <row r="208" spans="1:21" x14ac:dyDescent="0.3">
      <c r="A208" t="s">
        <v>864</v>
      </c>
      <c r="B208" t="s">
        <v>865</v>
      </c>
      <c r="C208" t="s">
        <v>20</v>
      </c>
      <c r="D208" t="s">
        <v>866</v>
      </c>
      <c r="E208" t="s">
        <v>22</v>
      </c>
      <c r="F208" t="s">
        <v>67</v>
      </c>
      <c r="G208" s="6">
        <v>0</v>
      </c>
      <c r="H208" s="6">
        <v>182000</v>
      </c>
      <c r="J208" t="s">
        <v>867</v>
      </c>
      <c r="K208">
        <v>0</v>
      </c>
      <c r="L208">
        <v>1919</v>
      </c>
      <c r="M208">
        <f t="shared" si="9"/>
        <v>107</v>
      </c>
      <c r="N208" t="str">
        <v>Headquarters
7930 Jones Branch Drive
Suite 1100 
McLean, Virginia    22102
United States
Main Phone: 703 883 1000</v>
      </c>
      <c r="O208" t="str">
        <f t="shared" si="10"/>
        <v>0</v>
      </c>
      <c r="P208">
        <v>71488.5</v>
      </c>
      <c r="Q208">
        <v>83826.5</v>
      </c>
      <c r="R208">
        <v>2852</v>
      </c>
      <c r="S208" s="4">
        <f t="shared" si="11"/>
        <v>29.392180925666199</v>
      </c>
      <c r="T208">
        <v>4954</v>
      </c>
      <c r="U208" s="1">
        <v>0.57569999999999999</v>
      </c>
    </row>
    <row r="209" spans="1:21" x14ac:dyDescent="0.3">
      <c r="A209" t="s">
        <v>868</v>
      </c>
      <c r="B209" t="s">
        <v>869</v>
      </c>
      <c r="C209" t="s">
        <v>41</v>
      </c>
      <c r="D209" t="s">
        <v>870</v>
      </c>
      <c r="E209" t="s">
        <v>22</v>
      </c>
      <c r="F209" t="s">
        <v>33</v>
      </c>
      <c r="G209" s="6">
        <v>0</v>
      </c>
      <c r="H209" s="6">
        <v>7070</v>
      </c>
      <c r="J209" t="s">
        <v>871</v>
      </c>
      <c r="K209">
        <v>0</v>
      </c>
      <c r="L209">
        <v>1985</v>
      </c>
      <c r="M209">
        <f t="shared" si="9"/>
        <v>41</v>
      </c>
      <c r="N209" t="str">
        <v>Headquarters
250 Campus Drive 
Marlborough, Massachusetts    01752
United States
Main Phone: 508 263 2900</v>
      </c>
      <c r="O209" t="str">
        <f t="shared" si="10"/>
        <v>0</v>
      </c>
      <c r="P209">
        <v>16823.7</v>
      </c>
      <c r="Q209">
        <v>16977.400000000001</v>
      </c>
      <c r="R209">
        <v>1350.7</v>
      </c>
      <c r="S209" s="4">
        <f t="shared" si="11"/>
        <v>12.569334419190051</v>
      </c>
      <c r="T209">
        <v>4126.5</v>
      </c>
      <c r="U209" s="1">
        <v>0.32729999999999998</v>
      </c>
    </row>
    <row r="210" spans="1:21" x14ac:dyDescent="0.3">
      <c r="A210" t="s">
        <v>872</v>
      </c>
      <c r="B210" t="s">
        <v>873</v>
      </c>
      <c r="C210" t="s">
        <v>41</v>
      </c>
      <c r="D210" t="s">
        <v>874</v>
      </c>
      <c r="E210" t="s">
        <v>22</v>
      </c>
      <c r="F210" t="s">
        <v>28</v>
      </c>
      <c r="G210" s="6">
        <v>0</v>
      </c>
      <c r="H210" s="6">
        <v>101000</v>
      </c>
      <c r="J210" t="s">
        <v>875</v>
      </c>
      <c r="K210">
        <v>0</v>
      </c>
      <c r="L210">
        <v>1885</v>
      </c>
      <c r="M210">
        <f t="shared" si="9"/>
        <v>141</v>
      </c>
      <c r="N210" t="str">
        <v>Headquarters
855 South Mint Street 
Charlotte, North Carolina    28202
United States
Main Phone: 704-627-6200</v>
      </c>
      <c r="O210" t="str">
        <f t="shared" si="10"/>
        <v>0</v>
      </c>
      <c r="P210">
        <v>154844.20000000001</v>
      </c>
      <c r="Q210">
        <v>178603.2</v>
      </c>
      <c r="R210">
        <v>8468</v>
      </c>
      <c r="S210" s="4">
        <f t="shared" si="11"/>
        <v>21.091544638639586</v>
      </c>
      <c r="T210">
        <v>37442</v>
      </c>
      <c r="U210" s="1">
        <v>0.22620000000000001</v>
      </c>
    </row>
    <row r="211" spans="1:21" x14ac:dyDescent="0.3">
      <c r="A211" t="s">
        <v>876</v>
      </c>
      <c r="B211" t="s">
        <v>877</v>
      </c>
      <c r="C211" t="s">
        <v>20</v>
      </c>
      <c r="D211" t="s">
        <v>878</v>
      </c>
      <c r="E211" t="s">
        <v>22</v>
      </c>
      <c r="F211" t="s">
        <v>100</v>
      </c>
      <c r="G211" s="6">
        <v>0</v>
      </c>
      <c r="H211" s="6">
        <v>20000</v>
      </c>
      <c r="J211" t="s">
        <v>879</v>
      </c>
      <c r="K211">
        <v>0</v>
      </c>
      <c r="L211">
        <v>1891</v>
      </c>
      <c r="M211">
        <f t="shared" si="9"/>
        <v>135</v>
      </c>
      <c r="N211" t="str">
        <v>Headquarters
1 Hormel Place 
Austin, Minnesota    55912-3680
United States
Main Phone: 507 437 5611</v>
      </c>
      <c r="O211" t="str">
        <f t="shared" si="10"/>
        <v>0</v>
      </c>
      <c r="P211">
        <v>14087.3</v>
      </c>
      <c r="Q211">
        <v>16058.3</v>
      </c>
      <c r="R211">
        <v>1211.5999999999999</v>
      </c>
      <c r="S211" s="4">
        <f t="shared" si="11"/>
        <v>13.253796632551998</v>
      </c>
      <c r="T211">
        <v>12144.7</v>
      </c>
      <c r="U211" s="1">
        <v>9.98E-2</v>
      </c>
    </row>
    <row r="212" spans="1:21" x14ac:dyDescent="0.3">
      <c r="A212" t="s">
        <v>880</v>
      </c>
      <c r="B212" t="s">
        <v>881</v>
      </c>
      <c r="C212" t="s">
        <v>41</v>
      </c>
      <c r="D212" t="s">
        <v>882</v>
      </c>
      <c r="E212" t="s">
        <v>22</v>
      </c>
      <c r="F212" t="s">
        <v>80</v>
      </c>
      <c r="G212" s="6">
        <v>0</v>
      </c>
      <c r="H212" s="6">
        <v>162</v>
      </c>
      <c r="J212" t="s">
        <v>883</v>
      </c>
      <c r="K212">
        <v>0</v>
      </c>
      <c r="L212">
        <v>1927</v>
      </c>
      <c r="M212">
        <f t="shared" si="9"/>
        <v>99</v>
      </c>
      <c r="N212" t="str">
        <v>Headquarters
4747 Bethesda Avenue
Suite 1300 
Bethesda, Maryland    20814-1109
United States
Main Phone: 240 744 1000
Other Phone: 240 744 5117</v>
      </c>
      <c r="O212" t="str">
        <f t="shared" si="10"/>
        <v>0</v>
      </c>
      <c r="P212">
        <v>13474</v>
      </c>
      <c r="Q212">
        <v>18520</v>
      </c>
      <c r="R212">
        <v>1644</v>
      </c>
      <c r="S212" s="4">
        <f t="shared" si="11"/>
        <v>11.265206812652067</v>
      </c>
      <c r="T212">
        <v>6132</v>
      </c>
      <c r="U212" s="1">
        <v>0.2681</v>
      </c>
    </row>
    <row r="213" spans="1:21" x14ac:dyDescent="0.3">
      <c r="A213" t="s">
        <v>884</v>
      </c>
      <c r="B213" t="s">
        <v>885</v>
      </c>
      <c r="C213" t="s">
        <v>20</v>
      </c>
      <c r="D213" t="s">
        <v>886</v>
      </c>
      <c r="E213" t="s">
        <v>22</v>
      </c>
      <c r="F213" t="s">
        <v>28</v>
      </c>
      <c r="G213" s="6">
        <v>0</v>
      </c>
      <c r="H213" s="6">
        <v>25430</v>
      </c>
      <c r="J213" t="s">
        <v>887</v>
      </c>
      <c r="K213">
        <v>0</v>
      </c>
      <c r="L213">
        <v>1888</v>
      </c>
      <c r="M213">
        <f t="shared" si="9"/>
        <v>138</v>
      </c>
      <c r="N213" t="str">
        <v>Headquarters
201 Isabella Street
Suite 200 
Pittsburgh, Pennsylvania    15212-5872
United States
Main Phone: 412 553 1950</v>
      </c>
      <c r="O213" t="str">
        <f t="shared" si="10"/>
        <v>0</v>
      </c>
      <c r="P213">
        <v>105258.8</v>
      </c>
      <c r="Q213">
        <v>107729.8</v>
      </c>
      <c r="R213">
        <v>2388</v>
      </c>
      <c r="S213" s="4">
        <f t="shared" si="11"/>
        <v>45.112981574539361</v>
      </c>
      <c r="T213">
        <v>8252</v>
      </c>
      <c r="U213" s="1">
        <v>0.28939999999999999</v>
      </c>
    </row>
    <row r="214" spans="1:21" x14ac:dyDescent="0.3">
      <c r="A214" t="s">
        <v>888</v>
      </c>
      <c r="B214" t="s">
        <v>889</v>
      </c>
      <c r="C214" t="s">
        <v>20</v>
      </c>
      <c r="D214" t="s">
        <v>890</v>
      </c>
      <c r="E214" t="s">
        <v>22</v>
      </c>
      <c r="F214" t="s">
        <v>43</v>
      </c>
      <c r="G214" s="6">
        <v>0</v>
      </c>
      <c r="H214" s="6">
        <v>55000</v>
      </c>
      <c r="J214" t="s">
        <v>891</v>
      </c>
      <c r="K214">
        <v>0</v>
      </c>
      <c r="L214">
        <v>1939</v>
      </c>
      <c r="M214">
        <f t="shared" si="9"/>
        <v>87</v>
      </c>
      <c r="N214" t="str">
        <v>Headquarters
1501 Page Mill Road 
Palo Alto, California    94304
United States
Main Phone: (650)-857-1501</v>
      </c>
      <c r="O214" t="str">
        <f t="shared" si="10"/>
        <v>1</v>
      </c>
      <c r="P214">
        <v>17367.3</v>
      </c>
      <c r="Q214">
        <v>25151.3</v>
      </c>
      <c r="R214">
        <v>4457</v>
      </c>
      <c r="S214" s="4">
        <f t="shared" si="11"/>
        <v>5.6431007404083466</v>
      </c>
      <c r="T214">
        <v>56229</v>
      </c>
      <c r="U214" s="1">
        <v>7.9299999999999995E-2</v>
      </c>
    </row>
    <row r="215" spans="1:21" x14ac:dyDescent="0.3">
      <c r="A215" t="s">
        <v>892</v>
      </c>
      <c r="B215" t="s">
        <v>893</v>
      </c>
      <c r="C215" t="s">
        <v>20</v>
      </c>
      <c r="D215" t="s">
        <v>894</v>
      </c>
      <c r="E215" t="s">
        <v>22</v>
      </c>
      <c r="F215" t="s">
        <v>28</v>
      </c>
      <c r="G215" s="6">
        <v>0</v>
      </c>
      <c r="H215" s="6">
        <v>18000</v>
      </c>
      <c r="J215" t="s">
        <v>895</v>
      </c>
      <c r="K215">
        <v>0</v>
      </c>
      <c r="L215">
        <v>1888</v>
      </c>
      <c r="M215">
        <f t="shared" si="9"/>
        <v>138</v>
      </c>
      <c r="N215" t="str">
        <v>Headquarters
40 Waterview Drive 
Shelton, Connecticut    06484
United States
Main Phone: 475 882 4000</v>
      </c>
      <c r="O215" t="str">
        <f t="shared" si="10"/>
        <v>0</v>
      </c>
      <c r="P215">
        <v>27199.1</v>
      </c>
      <c r="Q215">
        <v>29198.5</v>
      </c>
      <c r="R215">
        <v>1411.7</v>
      </c>
      <c r="S215" s="4">
        <f t="shared" si="11"/>
        <v>20.683218814195651</v>
      </c>
      <c r="T215">
        <v>5844.6</v>
      </c>
      <c r="U215" s="1">
        <v>0.24149999999999999</v>
      </c>
    </row>
    <row r="216" spans="1:21" x14ac:dyDescent="0.3">
      <c r="A216" t="s">
        <v>896</v>
      </c>
      <c r="B216" t="s">
        <v>897</v>
      </c>
      <c r="C216" t="s">
        <v>20</v>
      </c>
      <c r="D216" t="s">
        <v>898</v>
      </c>
      <c r="E216" t="s">
        <v>22</v>
      </c>
      <c r="F216" t="s">
        <v>33</v>
      </c>
      <c r="G216" s="6">
        <v>0</v>
      </c>
      <c r="H216" s="6">
        <v>67060</v>
      </c>
      <c r="J216" t="s">
        <v>899</v>
      </c>
      <c r="K216">
        <v>0</v>
      </c>
      <c r="L216">
        <v>1961</v>
      </c>
      <c r="M216">
        <f t="shared" si="9"/>
        <v>65</v>
      </c>
      <c r="N216" t="str">
        <v>Headquarters
Humana Building
101 East Main Street 
Louisville, Kentucky    40202
United States
Main Phone: 502 580 1000</v>
      </c>
      <c r="O216" t="str">
        <f t="shared" si="10"/>
        <v>0</v>
      </c>
      <c r="P216">
        <v>22978.400000000001</v>
      </c>
      <c r="Q216">
        <v>32128.400000000001</v>
      </c>
      <c r="R216">
        <v>3569</v>
      </c>
      <c r="S216" s="4">
        <f t="shared" si="11"/>
        <v>9.0020734099187454</v>
      </c>
      <c r="T216">
        <v>129664</v>
      </c>
      <c r="U216" s="1">
        <v>2.75E-2</v>
      </c>
    </row>
    <row r="217" spans="1:21" x14ac:dyDescent="0.3">
      <c r="A217" t="s">
        <v>900</v>
      </c>
      <c r="B217" t="s">
        <v>901</v>
      </c>
      <c r="C217" t="s">
        <v>41</v>
      </c>
      <c r="D217" t="s">
        <v>902</v>
      </c>
      <c r="E217" t="s">
        <v>22</v>
      </c>
      <c r="F217" t="s">
        <v>53</v>
      </c>
      <c r="G217" s="6">
        <v>1</v>
      </c>
      <c r="H217" s="6">
        <v>20424</v>
      </c>
      <c r="J217" t="s">
        <v>903</v>
      </c>
      <c r="K217">
        <v>0</v>
      </c>
      <c r="L217">
        <v>1866</v>
      </c>
      <c r="M217">
        <f t="shared" si="9"/>
        <v>160</v>
      </c>
      <c r="N217" t="str">
        <v>Headquarters
Huntington Center
41 South High Street 
Columbus, Ohio    43287
United States
Main Phone: 614 480 2265</v>
      </c>
      <c r="O217" t="str">
        <f t="shared" si="10"/>
        <v>0</v>
      </c>
      <c r="P217">
        <v>34100.5</v>
      </c>
      <c r="Q217" t="s">
        <v>91</v>
      </c>
      <c r="R217">
        <v>0</v>
      </c>
      <c r="S217" s="4" t="e">
        <f t="shared" si="11"/>
        <v>#VALUE!</v>
      </c>
      <c r="T217">
        <v>7692</v>
      </c>
      <c r="U217" s="1">
        <v>0</v>
      </c>
    </row>
    <row r="218" spans="1:21" x14ac:dyDescent="0.3">
      <c r="A218" t="s">
        <v>904</v>
      </c>
      <c r="B218" t="s">
        <v>905</v>
      </c>
      <c r="C218" t="s">
        <v>20</v>
      </c>
      <c r="D218" t="s">
        <v>906</v>
      </c>
      <c r="E218" t="s">
        <v>22</v>
      </c>
      <c r="F218" t="s">
        <v>28</v>
      </c>
      <c r="G218" s="6">
        <v>0</v>
      </c>
      <c r="H218" s="6">
        <v>44000</v>
      </c>
      <c r="J218" t="s">
        <v>907</v>
      </c>
      <c r="K218">
        <v>0</v>
      </c>
      <c r="L218">
        <v>1886</v>
      </c>
      <c r="M218">
        <f t="shared" si="9"/>
        <v>140</v>
      </c>
      <c r="N218" t="str">
        <v>Headquarters
4101 Washington Avenue 
Newport News, Virginia    23607
United States
Main Phone: 757 380 2000</v>
      </c>
      <c r="O218" t="str">
        <f t="shared" si="10"/>
        <v>0</v>
      </c>
      <c r="P218">
        <v>17444.2</v>
      </c>
      <c r="Q218">
        <v>19651.2</v>
      </c>
      <c r="R218">
        <v>1130</v>
      </c>
      <c r="S218" s="4">
        <f t="shared" si="11"/>
        <v>17.390442477876107</v>
      </c>
      <c r="T218">
        <v>12484</v>
      </c>
      <c r="U218" s="1">
        <v>9.0499999999999997E-2</v>
      </c>
    </row>
    <row r="219" spans="1:21" x14ac:dyDescent="0.3">
      <c r="A219" t="s">
        <v>908</v>
      </c>
      <c r="B219" t="s">
        <v>909</v>
      </c>
      <c r="C219" t="s">
        <v>20</v>
      </c>
      <c r="D219" t="s">
        <v>910</v>
      </c>
      <c r="E219" t="s">
        <v>22</v>
      </c>
      <c r="F219" t="s">
        <v>28</v>
      </c>
      <c r="G219" s="6">
        <v>0</v>
      </c>
      <c r="H219" s="6">
        <v>8700</v>
      </c>
      <c r="J219" t="s">
        <v>911</v>
      </c>
      <c r="K219">
        <v>0</v>
      </c>
      <c r="L219">
        <v>1987</v>
      </c>
      <c r="M219">
        <f t="shared" si="9"/>
        <v>39</v>
      </c>
      <c r="N219" t="str">
        <v>Headquarters
3100 Sanders Road
Suite 301 
Northbrook, Illinois    60062
United States
Main Phone: 847 498 7070</v>
      </c>
      <c r="O219" t="str">
        <f t="shared" si="10"/>
        <v>0</v>
      </c>
      <c r="P219">
        <v>15573.6</v>
      </c>
      <c r="Q219">
        <v>16935</v>
      </c>
      <c r="R219">
        <v>931.4</v>
      </c>
      <c r="S219" s="4">
        <f t="shared" si="11"/>
        <v>18.182306205711832</v>
      </c>
      <c r="T219">
        <v>3457.5</v>
      </c>
      <c r="U219" s="1">
        <v>0.26939999999999997</v>
      </c>
    </row>
    <row r="220" spans="1:21" x14ac:dyDescent="0.3">
      <c r="A220" t="s">
        <v>912</v>
      </c>
      <c r="B220" t="s">
        <v>913</v>
      </c>
      <c r="C220" t="s">
        <v>41</v>
      </c>
      <c r="D220" t="s">
        <v>914</v>
      </c>
      <c r="E220" t="s">
        <v>22</v>
      </c>
      <c r="F220" t="s">
        <v>33</v>
      </c>
      <c r="G220" s="6">
        <v>0</v>
      </c>
      <c r="H220" s="6">
        <v>11000</v>
      </c>
      <c r="J220" t="s">
        <v>915</v>
      </c>
      <c r="K220">
        <v>0</v>
      </c>
      <c r="L220">
        <v>1983</v>
      </c>
      <c r="M220">
        <f t="shared" si="9"/>
        <v>43</v>
      </c>
      <c r="N220" t="str">
        <v>Headquarters
One IDEXX Drive 
Westbrook, Maine    04092
United States
Main Phone: 207 556 0300
Main Fax: 207 556 4346</v>
      </c>
      <c r="O220" t="str">
        <f t="shared" si="10"/>
        <v>0</v>
      </c>
      <c r="P220">
        <v>52291.5</v>
      </c>
      <c r="Q220">
        <v>53087.9</v>
      </c>
      <c r="R220">
        <v>1505.2</v>
      </c>
      <c r="S220" s="4">
        <f t="shared" si="11"/>
        <v>35.269665160775979</v>
      </c>
      <c r="T220">
        <v>4303.7</v>
      </c>
      <c r="U220" s="1">
        <v>0.34970000000000001</v>
      </c>
    </row>
    <row r="221" spans="1:21" x14ac:dyDescent="0.3">
      <c r="A221" t="s">
        <v>916</v>
      </c>
      <c r="B221" t="s">
        <v>917</v>
      </c>
      <c r="C221" t="s">
        <v>20</v>
      </c>
      <c r="D221" t="s">
        <v>918</v>
      </c>
      <c r="E221" t="s">
        <v>22</v>
      </c>
      <c r="F221" t="s">
        <v>28</v>
      </c>
      <c r="G221" s="6">
        <v>0</v>
      </c>
      <c r="H221" s="6">
        <v>43000</v>
      </c>
      <c r="J221" t="s">
        <v>919</v>
      </c>
      <c r="K221">
        <v>0</v>
      </c>
      <c r="L221">
        <v>1912</v>
      </c>
      <c r="M221">
        <f t="shared" si="9"/>
        <v>114</v>
      </c>
      <c r="N221" t="str">
        <v>Headquarters
155 Harlem Avenue 
Glenview, Illinois    60025
United States
Main Phone: 847 724 7500</v>
      </c>
      <c r="O221" t="str">
        <f t="shared" si="10"/>
        <v>0</v>
      </c>
      <c r="P221">
        <v>83759.600000000006</v>
      </c>
      <c r="Q221">
        <v>92120.6</v>
      </c>
      <c r="R221">
        <v>4655</v>
      </c>
      <c r="S221" s="4">
        <f t="shared" si="11"/>
        <v>19.789602577873257</v>
      </c>
      <c r="T221">
        <v>16044</v>
      </c>
      <c r="U221" s="1">
        <v>0.29010000000000002</v>
      </c>
    </row>
    <row r="222" spans="1:21" x14ac:dyDescent="0.3">
      <c r="A222" t="s">
        <v>920</v>
      </c>
      <c r="B222" t="s">
        <v>921</v>
      </c>
      <c r="C222" t="s">
        <v>41</v>
      </c>
      <c r="D222" t="s">
        <v>922</v>
      </c>
      <c r="E222" t="s">
        <v>22</v>
      </c>
      <c r="F222" t="s">
        <v>33</v>
      </c>
      <c r="G222" s="6">
        <v>0</v>
      </c>
      <c r="H222" s="6">
        <v>2844</v>
      </c>
      <c r="J222" t="s">
        <v>923</v>
      </c>
      <c r="K222">
        <v>0</v>
      </c>
      <c r="L222">
        <v>1991</v>
      </c>
      <c r="M222">
        <f t="shared" si="9"/>
        <v>35</v>
      </c>
      <c r="N222" t="str">
        <v>Headquarters
1801 Augustine Cut-Off 
Wilmington, Delaware    19803
United States
Main Phone: 302 498 6700</v>
      </c>
      <c r="O222" t="str">
        <f t="shared" si="10"/>
        <v>0</v>
      </c>
      <c r="P222">
        <v>20154.2</v>
      </c>
      <c r="Q222">
        <v>16628.5</v>
      </c>
      <c r="R222">
        <v>1439.8</v>
      </c>
      <c r="S222" s="4">
        <f t="shared" si="11"/>
        <v>11.549173496318934</v>
      </c>
      <c r="T222">
        <v>5141.2</v>
      </c>
      <c r="U222" s="1">
        <v>0.28010000000000002</v>
      </c>
    </row>
    <row r="223" spans="1:21" x14ac:dyDescent="0.3">
      <c r="A223" t="s">
        <v>924</v>
      </c>
      <c r="B223" t="s">
        <v>925</v>
      </c>
      <c r="C223" t="s">
        <v>20</v>
      </c>
      <c r="D223" t="s">
        <v>926</v>
      </c>
      <c r="E223" t="s">
        <v>22</v>
      </c>
      <c r="F223" t="s">
        <v>28</v>
      </c>
      <c r="G223" s="6">
        <v>0</v>
      </c>
      <c r="H223" s="6">
        <v>21000</v>
      </c>
      <c r="J223" t="s">
        <v>149</v>
      </c>
      <c r="K223">
        <v>0</v>
      </c>
      <c r="L223">
        <v>1859</v>
      </c>
      <c r="M223">
        <f t="shared" si="9"/>
        <v>167</v>
      </c>
      <c r="N223" t="str">
        <v>Headquarters
525 Harbour Place Drive
Suite 600 
Davidson, North Carolina    28036
United States
Main Phone: 704 655 4000</v>
      </c>
      <c r="O223" t="str">
        <f t="shared" si="10"/>
        <v>0</v>
      </c>
      <c r="P223">
        <v>36866.9</v>
      </c>
      <c r="Q223">
        <v>40815.1</v>
      </c>
      <c r="R223">
        <v>2015.8</v>
      </c>
      <c r="S223" s="4">
        <f t="shared" si="11"/>
        <v>20.247594007341998</v>
      </c>
      <c r="T223">
        <v>7650.9</v>
      </c>
      <c r="U223" s="1">
        <v>0.26350000000000001</v>
      </c>
    </row>
    <row r="224" spans="1:21" x14ac:dyDescent="0.3">
      <c r="A224" t="s">
        <v>927</v>
      </c>
      <c r="B224" t="s">
        <v>928</v>
      </c>
      <c r="C224" t="s">
        <v>41</v>
      </c>
      <c r="D224" t="s">
        <v>929</v>
      </c>
      <c r="E224" t="s">
        <v>22</v>
      </c>
      <c r="F224" t="s">
        <v>33</v>
      </c>
      <c r="G224" s="6">
        <v>0</v>
      </c>
      <c r="H224" s="6">
        <v>5400</v>
      </c>
      <c r="J224" t="s">
        <v>930</v>
      </c>
      <c r="K224">
        <v>0</v>
      </c>
      <c r="L224">
        <v>2000</v>
      </c>
      <c r="M224">
        <f t="shared" si="9"/>
        <v>26</v>
      </c>
      <c r="N224" t="str">
        <v>Headquarters
100 Nagog Park 
Acton, Massachusetts    01720
United States
Main Phone: 978 600 7000</v>
      </c>
      <c r="O224" t="str">
        <f t="shared" si="10"/>
        <v>0</v>
      </c>
      <c r="P224">
        <v>17360.3</v>
      </c>
      <c r="Q224">
        <v>17646.900000000001</v>
      </c>
      <c r="R224">
        <v>564.20000000000005</v>
      </c>
      <c r="S224" s="4">
        <f t="shared" si="11"/>
        <v>31.277738390641616</v>
      </c>
      <c r="T224">
        <v>2708.1</v>
      </c>
      <c r="U224" s="1">
        <v>0.20830000000000001</v>
      </c>
    </row>
    <row r="225" spans="1:21" x14ac:dyDescent="0.3">
      <c r="A225" t="s">
        <v>931</v>
      </c>
      <c r="B225" t="s">
        <v>932</v>
      </c>
      <c r="C225" t="s">
        <v>41</v>
      </c>
      <c r="D225" t="s">
        <v>933</v>
      </c>
      <c r="E225" t="s">
        <v>22</v>
      </c>
      <c r="F225" t="s">
        <v>43</v>
      </c>
      <c r="G225" s="6">
        <v>0</v>
      </c>
      <c r="H225" s="6">
        <v>85100</v>
      </c>
      <c r="J225" t="s">
        <v>934</v>
      </c>
      <c r="K225">
        <v>0</v>
      </c>
      <c r="L225">
        <v>1968</v>
      </c>
      <c r="M225">
        <f t="shared" si="9"/>
        <v>58</v>
      </c>
      <c r="N225" t="str">
        <v>Headquarters
2200 Mission College Boulevard 
Santa Clara, California    95054-1549
United States
Main Phone: 408 765 8080</v>
      </c>
      <c r="O225" t="str">
        <f t="shared" si="10"/>
        <v>1</v>
      </c>
      <c r="P225">
        <v>227830.1</v>
      </c>
      <c r="Q225">
        <v>249118.1</v>
      </c>
      <c r="R225">
        <v>12633</v>
      </c>
      <c r="S225" s="4">
        <f t="shared" si="11"/>
        <v>19.719631124831789</v>
      </c>
      <c r="T225">
        <v>52853</v>
      </c>
      <c r="U225" s="1">
        <v>0.23899999999999999</v>
      </c>
    </row>
    <row r="226" spans="1:21" x14ac:dyDescent="0.3">
      <c r="A226" t="s">
        <v>935</v>
      </c>
      <c r="B226" t="s">
        <v>936</v>
      </c>
      <c r="C226" t="s">
        <v>41</v>
      </c>
      <c r="D226" t="s">
        <v>937</v>
      </c>
      <c r="E226" t="s">
        <v>22</v>
      </c>
      <c r="F226" t="s">
        <v>53</v>
      </c>
      <c r="G226" s="6">
        <v>1</v>
      </c>
      <c r="H226" s="6">
        <v>3131</v>
      </c>
      <c r="J226" t="s">
        <v>938</v>
      </c>
      <c r="K226">
        <v>0</v>
      </c>
      <c r="L226">
        <v>1977</v>
      </c>
      <c r="M226">
        <f t="shared" si="9"/>
        <v>49</v>
      </c>
      <c r="N226" t="str">
        <v>Headquarters
One Pickwick Plaza 
Greenwich, Connecticut    06830
United States
Main Phone: 203 618 5800</v>
      </c>
      <c r="O226" t="str">
        <f t="shared" si="10"/>
        <v>0</v>
      </c>
      <c r="P226">
        <v>31710.9</v>
      </c>
      <c r="Q226" t="s">
        <v>91</v>
      </c>
      <c r="R226">
        <v>0</v>
      </c>
      <c r="S226" s="4" t="e">
        <f t="shared" si="11"/>
        <v>#VALUE!</v>
      </c>
      <c r="T226">
        <v>6209</v>
      </c>
      <c r="U226" s="1">
        <v>0</v>
      </c>
    </row>
    <row r="227" spans="1:21" x14ac:dyDescent="0.3">
      <c r="A227" t="s">
        <v>939</v>
      </c>
      <c r="B227" t="s">
        <v>940</v>
      </c>
      <c r="C227" t="s">
        <v>20</v>
      </c>
      <c r="D227" t="s">
        <v>941</v>
      </c>
      <c r="E227" t="s">
        <v>22</v>
      </c>
      <c r="F227" t="s">
        <v>53</v>
      </c>
      <c r="G227" s="6">
        <v>1</v>
      </c>
      <c r="H227" s="6">
        <v>12844</v>
      </c>
      <c r="J227" t="s">
        <v>942</v>
      </c>
      <c r="K227">
        <v>0</v>
      </c>
      <c r="L227">
        <v>2000</v>
      </c>
      <c r="M227">
        <f t="shared" si="9"/>
        <v>26</v>
      </c>
      <c r="N227" t="str">
        <v>Headquarters
5660 New Northside Drive
3rd Floor 
Atlanta, Georgia    30328
United States
Main Phone: 770 857 4700</v>
      </c>
      <c r="O227" t="str">
        <f t="shared" si="10"/>
        <v>0</v>
      </c>
      <c r="P227">
        <v>93208.9</v>
      </c>
      <c r="Q227">
        <v>112763.9</v>
      </c>
      <c r="R227">
        <v>6176</v>
      </c>
      <c r="S227" s="4">
        <f t="shared" si="11"/>
        <v>18.258403497409326</v>
      </c>
      <c r="T227">
        <v>9931</v>
      </c>
      <c r="U227" s="1">
        <v>0.62190000000000001</v>
      </c>
    </row>
    <row r="228" spans="1:21" x14ac:dyDescent="0.3">
      <c r="A228" t="s">
        <v>943</v>
      </c>
      <c r="B228" t="s">
        <v>944</v>
      </c>
      <c r="C228" t="s">
        <v>20</v>
      </c>
      <c r="D228" t="s">
        <v>945</v>
      </c>
      <c r="E228" t="s">
        <v>22</v>
      </c>
      <c r="F228" t="s">
        <v>43</v>
      </c>
      <c r="G228" s="6">
        <v>0</v>
      </c>
      <c r="H228" s="6">
        <v>264300</v>
      </c>
      <c r="J228" t="s">
        <v>946</v>
      </c>
      <c r="K228">
        <v>0</v>
      </c>
      <c r="L228">
        <v>1911</v>
      </c>
      <c r="M228">
        <f t="shared" si="9"/>
        <v>115</v>
      </c>
      <c r="N228" t="str">
        <v>Headquarters
One New Orchard Road 
Armonk, New York    10504
United States
Main Phone: 914 499 1900</v>
      </c>
      <c r="O228" t="str">
        <f t="shared" si="10"/>
        <v>0</v>
      </c>
      <c r="P228">
        <v>225325.2</v>
      </c>
      <c r="Q228">
        <v>275608.2</v>
      </c>
      <c r="R228">
        <v>16118</v>
      </c>
      <c r="S228" s="4">
        <f t="shared" si="11"/>
        <v>17.099404392604541</v>
      </c>
      <c r="T228">
        <v>67535</v>
      </c>
      <c r="U228" s="1">
        <v>0.2387</v>
      </c>
    </row>
    <row r="229" spans="1:21" x14ac:dyDescent="0.3">
      <c r="A229" t="s">
        <v>947</v>
      </c>
      <c r="B229" t="s">
        <v>948</v>
      </c>
      <c r="C229" t="s">
        <v>20</v>
      </c>
      <c r="D229" t="s">
        <v>949</v>
      </c>
      <c r="E229" t="s">
        <v>22</v>
      </c>
      <c r="F229" t="s">
        <v>62</v>
      </c>
      <c r="G229" s="6">
        <v>0</v>
      </c>
      <c r="H229" s="6">
        <v>22400</v>
      </c>
      <c r="J229" t="s">
        <v>950</v>
      </c>
      <c r="K229">
        <v>0</v>
      </c>
      <c r="L229">
        <v>1909</v>
      </c>
      <c r="M229">
        <f t="shared" si="9"/>
        <v>117</v>
      </c>
      <c r="N229" t="str">
        <v>Headquarters
521 West 57th Street 
New York, New York    10019-2960
United States
Main Phone: 212 765 5500</v>
      </c>
      <c r="O229" t="str">
        <f t="shared" si="10"/>
        <v>0</v>
      </c>
      <c r="P229">
        <v>21007.9</v>
      </c>
      <c r="Q229">
        <v>27100.9</v>
      </c>
      <c r="R229">
        <v>1858</v>
      </c>
      <c r="S229" s="4">
        <f t="shared" si="11"/>
        <v>14.58606027987083</v>
      </c>
      <c r="T229">
        <v>10890</v>
      </c>
      <c r="U229" s="1">
        <v>0.1706</v>
      </c>
    </row>
    <row r="230" spans="1:21" x14ac:dyDescent="0.3">
      <c r="A230" t="s">
        <v>951</v>
      </c>
      <c r="B230" t="s">
        <v>952</v>
      </c>
      <c r="C230" t="s">
        <v>20</v>
      </c>
      <c r="D230" t="s">
        <v>953</v>
      </c>
      <c r="E230" t="s">
        <v>22</v>
      </c>
      <c r="F230" t="s">
        <v>62</v>
      </c>
      <c r="G230" s="6">
        <v>0</v>
      </c>
      <c r="H230" s="6">
        <v>37000</v>
      </c>
      <c r="J230" t="s">
        <v>954</v>
      </c>
      <c r="K230">
        <v>0</v>
      </c>
      <c r="L230">
        <v>1898</v>
      </c>
      <c r="M230">
        <f t="shared" si="9"/>
        <v>128</v>
      </c>
      <c r="N230" t="str">
        <v>Headquarters
6400 Poplar Avenue 
Memphis, Tennessee    38197
United States
Main Phone: 901 419 9000</v>
      </c>
      <c r="O230" t="str">
        <f t="shared" si="10"/>
        <v>0</v>
      </c>
      <c r="P230">
        <v>23058.400000000001</v>
      </c>
      <c r="Q230">
        <v>32230.400000000001</v>
      </c>
      <c r="R230">
        <v>3073</v>
      </c>
      <c r="S230" s="4">
        <f t="shared" si="11"/>
        <v>10.488252521965507</v>
      </c>
      <c r="T230">
        <v>23634</v>
      </c>
      <c r="U230" s="1">
        <v>0.13</v>
      </c>
    </row>
    <row r="231" spans="1:21" x14ac:dyDescent="0.3">
      <c r="A231" t="s">
        <v>955</v>
      </c>
      <c r="B231" t="s">
        <v>956</v>
      </c>
      <c r="C231" t="s">
        <v>41</v>
      </c>
      <c r="D231" t="s">
        <v>957</v>
      </c>
      <c r="E231" t="s">
        <v>22</v>
      </c>
      <c r="F231" t="s">
        <v>43</v>
      </c>
      <c r="G231" s="6">
        <v>0</v>
      </c>
      <c r="H231" s="6">
        <v>18200</v>
      </c>
      <c r="J231" t="s">
        <v>958</v>
      </c>
      <c r="K231">
        <v>0</v>
      </c>
      <c r="L231">
        <v>1983</v>
      </c>
      <c r="M231">
        <f t="shared" si="9"/>
        <v>43</v>
      </c>
      <c r="N231" t="str">
        <v>Headquarters
2700 Coast Avenue 
Mountain View, California    94043
United States
Main Phone: 650 944 6000</v>
      </c>
      <c r="O231" t="str">
        <f t="shared" si="10"/>
        <v>1</v>
      </c>
      <c r="P231">
        <v>113117.2</v>
      </c>
      <c r="Q231">
        <v>117030.2</v>
      </c>
      <c r="R231">
        <v>6107</v>
      </c>
      <c r="S231" s="4">
        <f t="shared" si="11"/>
        <v>19.163288030129358</v>
      </c>
      <c r="T231">
        <v>20121</v>
      </c>
      <c r="U231" s="1">
        <v>0.30349999999999999</v>
      </c>
    </row>
    <row r="232" spans="1:21" x14ac:dyDescent="0.3">
      <c r="A232" t="s">
        <v>959</v>
      </c>
      <c r="B232" t="s">
        <v>960</v>
      </c>
      <c r="C232" t="s">
        <v>41</v>
      </c>
      <c r="D232" t="s">
        <v>961</v>
      </c>
      <c r="E232" t="s">
        <v>22</v>
      </c>
      <c r="F232" t="s">
        <v>33</v>
      </c>
      <c r="G232" s="6">
        <v>0</v>
      </c>
      <c r="H232" s="6">
        <v>17021</v>
      </c>
      <c r="J232" t="s">
        <v>962</v>
      </c>
      <c r="K232">
        <v>0</v>
      </c>
      <c r="L232">
        <v>1995</v>
      </c>
      <c r="M232">
        <f t="shared" si="9"/>
        <v>31</v>
      </c>
      <c r="N232" t="str">
        <v>Headquarters
1020 Kifer Road 
Sunnyvale, California    94086-5304
United States
Main Phone: 408 523 2100
Main Fax: 408 523 1390</v>
      </c>
      <c r="O232" t="str">
        <f t="shared" si="10"/>
        <v>1</v>
      </c>
      <c r="P232">
        <v>178811.6</v>
      </c>
      <c r="Q232">
        <v>173165.3</v>
      </c>
      <c r="R232">
        <v>3558</v>
      </c>
      <c r="S232" s="4">
        <f t="shared" si="11"/>
        <v>48.669280494659915</v>
      </c>
      <c r="T232">
        <v>10064.700000000001</v>
      </c>
      <c r="U232" s="1">
        <v>0.35349999999999998</v>
      </c>
    </row>
    <row r="233" spans="1:21" x14ac:dyDescent="0.3">
      <c r="A233" t="s">
        <v>963</v>
      </c>
      <c r="B233" t="s">
        <v>964</v>
      </c>
      <c r="C233" t="s">
        <v>20</v>
      </c>
      <c r="D233" t="s">
        <v>965</v>
      </c>
      <c r="E233" t="s">
        <v>22</v>
      </c>
      <c r="F233" t="s">
        <v>53</v>
      </c>
      <c r="G233" s="6">
        <v>1</v>
      </c>
      <c r="H233" s="6">
        <v>7499</v>
      </c>
      <c r="J233" t="s">
        <v>966</v>
      </c>
      <c r="K233">
        <v>0</v>
      </c>
      <c r="L233">
        <v>1935</v>
      </c>
      <c r="M233">
        <f t="shared" si="9"/>
        <v>91</v>
      </c>
      <c r="N233" t="str">
        <v>Headquarters
Midtown Union
1331 Spring Street,
North West, Suite 2500 
Atlanta, Georgia    30309
United States
Main Phone: 404 892 0896
Main Fax: 404 439 3323
Other Phone: 800 241 5477</v>
      </c>
      <c r="O233" t="str">
        <f t="shared" si="10"/>
        <v>0</v>
      </c>
      <c r="P233">
        <v>11650.9</v>
      </c>
      <c r="Q233">
        <v>16129.6</v>
      </c>
      <c r="R233">
        <v>1280</v>
      </c>
      <c r="S233" s="4">
        <f t="shared" si="11"/>
        <v>12.60125</v>
      </c>
      <c r="T233">
        <v>6377.1</v>
      </c>
      <c r="U233" s="1">
        <v>0.20069999999999999</v>
      </c>
    </row>
    <row r="234" spans="1:21" x14ac:dyDescent="0.3">
      <c r="A234" t="s">
        <v>967</v>
      </c>
      <c r="B234" t="s">
        <v>968</v>
      </c>
      <c r="C234" t="s">
        <v>20</v>
      </c>
      <c r="D234" t="s">
        <v>969</v>
      </c>
      <c r="E234" t="s">
        <v>22</v>
      </c>
      <c r="F234" t="s">
        <v>80</v>
      </c>
      <c r="G234" s="6">
        <v>0</v>
      </c>
      <c r="H234" s="6">
        <v>1725</v>
      </c>
      <c r="J234" t="s">
        <v>970</v>
      </c>
      <c r="K234">
        <v>0</v>
      </c>
      <c r="L234">
        <v>2012</v>
      </c>
      <c r="M234">
        <f t="shared" si="9"/>
        <v>14</v>
      </c>
      <c r="N234" t="str">
        <v>Headquarters
5420 LBJ Freeway
Suite 600 
Dallas, Texas    75240
United States
Main Phone: 972 421 3600
Other Phone: 844 456 4684</v>
      </c>
      <c r="O234" t="str">
        <f t="shared" si="10"/>
        <v>0</v>
      </c>
      <c r="P234">
        <v>16051.2</v>
      </c>
      <c r="Q234">
        <v>24376.3</v>
      </c>
      <c r="R234">
        <v>1490.5</v>
      </c>
      <c r="S234" s="4">
        <f t="shared" si="11"/>
        <v>16.354444817175445</v>
      </c>
      <c r="T234">
        <v>2717.7</v>
      </c>
      <c r="U234" s="1">
        <v>0.5484</v>
      </c>
    </row>
    <row r="235" spans="1:21" x14ac:dyDescent="0.3">
      <c r="A235" t="s">
        <v>971</v>
      </c>
      <c r="B235" t="s">
        <v>972</v>
      </c>
      <c r="C235" t="s">
        <v>20</v>
      </c>
      <c r="D235" t="s">
        <v>973</v>
      </c>
      <c r="E235" t="s">
        <v>22</v>
      </c>
      <c r="F235" t="s">
        <v>33</v>
      </c>
      <c r="G235" s="6">
        <v>0</v>
      </c>
      <c r="H235" s="6">
        <v>93000</v>
      </c>
      <c r="J235" t="s">
        <v>974</v>
      </c>
      <c r="K235">
        <v>0</v>
      </c>
      <c r="L235">
        <v>2016</v>
      </c>
      <c r="M235">
        <f t="shared" si="9"/>
        <v>10</v>
      </c>
      <c r="N235" t="str">
        <v>Headquarters
2400 Ellis Road 
Durham, North Carolina    27703
United States
Main Phone: 919 998 2000</v>
      </c>
      <c r="O235" t="str">
        <f t="shared" si="10"/>
        <v>0</v>
      </c>
      <c r="P235">
        <v>30016.2</v>
      </c>
      <c r="Q235">
        <v>44307.199999999997</v>
      </c>
      <c r="R235">
        <v>2938</v>
      </c>
      <c r="S235" s="4">
        <f t="shared" si="11"/>
        <v>15.080735194009529</v>
      </c>
      <c r="T235">
        <v>16310</v>
      </c>
      <c r="U235" s="1">
        <v>0.18010000000000001</v>
      </c>
    </row>
    <row r="236" spans="1:21" x14ac:dyDescent="0.3">
      <c r="A236" t="s">
        <v>975</v>
      </c>
      <c r="B236" t="s">
        <v>976</v>
      </c>
      <c r="C236" t="s">
        <v>20</v>
      </c>
      <c r="D236" t="s">
        <v>977</v>
      </c>
      <c r="E236" t="s">
        <v>22</v>
      </c>
      <c r="F236" t="s">
        <v>80</v>
      </c>
      <c r="G236" s="6">
        <v>0</v>
      </c>
      <c r="H236" s="6">
        <v>29400</v>
      </c>
      <c r="J236" t="s">
        <v>978</v>
      </c>
      <c r="K236">
        <v>0</v>
      </c>
      <c r="L236">
        <v>1951</v>
      </c>
      <c r="M236">
        <f t="shared" si="9"/>
        <v>75</v>
      </c>
      <c r="N236" t="str">
        <v>Headquarters
85 New Hampshire Avenue
Suite 150 
Portsmouth, New Hampshire    03801
United States
Main Phone: 617 535 4766</v>
      </c>
      <c r="O236" t="str">
        <f t="shared" si="10"/>
        <v>0</v>
      </c>
      <c r="P236">
        <v>32047.8</v>
      </c>
      <c r="Q236">
        <v>51348.800000000003</v>
      </c>
      <c r="R236">
        <v>2328.6</v>
      </c>
      <c r="S236" s="4">
        <f t="shared" si="11"/>
        <v>22.051361332989782</v>
      </c>
      <c r="T236">
        <v>6901.7</v>
      </c>
      <c r="U236" s="1">
        <v>0.33739999999999998</v>
      </c>
    </row>
    <row r="237" spans="1:21" x14ac:dyDescent="0.3">
      <c r="A237" t="s">
        <v>979</v>
      </c>
      <c r="B237" t="s">
        <v>980</v>
      </c>
      <c r="C237" t="s">
        <v>41</v>
      </c>
      <c r="D237" t="s">
        <v>981</v>
      </c>
      <c r="E237" t="s">
        <v>22</v>
      </c>
      <c r="F237" t="s">
        <v>28</v>
      </c>
      <c r="G237" s="6">
        <v>0</v>
      </c>
      <c r="H237" s="6">
        <v>31750</v>
      </c>
      <c r="I237" t="s">
        <v>982</v>
      </c>
      <c r="J237" t="s">
        <v>982</v>
      </c>
      <c r="K237">
        <v>1</v>
      </c>
      <c r="L237">
        <v>1961</v>
      </c>
      <c r="M237">
        <f t="shared" si="9"/>
        <v>65</v>
      </c>
      <c r="N237" t="str">
        <v>Headquarters
615 J.B. Hunt Corporate Drive 
Lowell, Arkansas    72745-0130
United States
Main Phone: 479 820 0000</v>
      </c>
      <c r="O237" t="str">
        <f t="shared" si="10"/>
        <v>0</v>
      </c>
      <c r="P237">
        <v>22081.5</v>
      </c>
      <c r="Q237">
        <v>23784.799999999999</v>
      </c>
      <c r="R237">
        <v>1579.9</v>
      </c>
      <c r="S237" s="4">
        <f t="shared" si="11"/>
        <v>15.054623710361414</v>
      </c>
      <c r="T237">
        <v>11999.1</v>
      </c>
      <c r="U237" s="1">
        <v>0.13170000000000001</v>
      </c>
    </row>
    <row r="238" spans="1:21" x14ac:dyDescent="0.3">
      <c r="A238" t="s">
        <v>983</v>
      </c>
      <c r="B238" t="s">
        <v>984</v>
      </c>
      <c r="C238" t="s">
        <v>20</v>
      </c>
      <c r="D238" t="s">
        <v>985</v>
      </c>
      <c r="E238" t="s">
        <v>22</v>
      </c>
      <c r="F238" t="s">
        <v>43</v>
      </c>
      <c r="G238" s="6">
        <v>0</v>
      </c>
      <c r="H238" s="6">
        <v>135000</v>
      </c>
      <c r="J238" t="s">
        <v>986</v>
      </c>
      <c r="K238">
        <v>0</v>
      </c>
      <c r="L238">
        <v>1966</v>
      </c>
      <c r="M238">
        <f t="shared" si="9"/>
        <v>60</v>
      </c>
      <c r="N238" t="str">
        <v>Headquarters
10800 Roosevelt Boulevard North 
Saint Petersburg, Florida    33716
United States
Main Phone: 727 577 9749</v>
      </c>
      <c r="O238" t="str">
        <f t="shared" si="10"/>
        <v>0</v>
      </c>
      <c r="P238">
        <v>27981.7</v>
      </c>
      <c r="Q238">
        <v>29858.7</v>
      </c>
      <c r="R238">
        <v>2289</v>
      </c>
      <c r="S238" s="4">
        <f t="shared" si="11"/>
        <v>13.044429882044561</v>
      </c>
      <c r="T238">
        <v>31113</v>
      </c>
      <c r="U238" s="1">
        <v>7.3599999999999999E-2</v>
      </c>
    </row>
    <row r="239" spans="1:21" x14ac:dyDescent="0.3">
      <c r="A239" t="s">
        <v>987</v>
      </c>
      <c r="B239" t="s">
        <v>988</v>
      </c>
      <c r="C239" t="s">
        <v>41</v>
      </c>
      <c r="D239" t="s">
        <v>989</v>
      </c>
      <c r="E239" t="s">
        <v>22</v>
      </c>
      <c r="F239" t="s">
        <v>53</v>
      </c>
      <c r="G239" s="6">
        <v>1</v>
      </c>
      <c r="H239" s="6">
        <v>7200</v>
      </c>
      <c r="J239" t="s">
        <v>990</v>
      </c>
      <c r="K239">
        <v>0</v>
      </c>
      <c r="L239">
        <v>1976</v>
      </c>
      <c r="M239">
        <f t="shared" si="9"/>
        <v>50</v>
      </c>
      <c r="N239" t="str">
        <v>Headquarters
663 West Highway 60
PO Box 807 
Monett, Missouri    65708-8215
United States
Main Phone: 417 235 6652</v>
      </c>
      <c r="O239" t="str">
        <f t="shared" si="10"/>
        <v>0</v>
      </c>
      <c r="P239">
        <v>11724.3</v>
      </c>
      <c r="Q239">
        <v>11764.6</v>
      </c>
      <c r="R239">
        <v>696.5</v>
      </c>
      <c r="S239" s="4">
        <f t="shared" si="11"/>
        <v>16.891026561378322</v>
      </c>
      <c r="T239">
        <v>2464.5</v>
      </c>
      <c r="U239" s="1">
        <v>0.28260000000000002</v>
      </c>
    </row>
    <row r="240" spans="1:21" x14ac:dyDescent="0.3">
      <c r="A240" t="s">
        <v>991</v>
      </c>
      <c r="B240" t="s">
        <v>992</v>
      </c>
      <c r="C240" t="s">
        <v>20</v>
      </c>
      <c r="D240" t="s">
        <v>993</v>
      </c>
      <c r="E240" t="s">
        <v>22</v>
      </c>
      <c r="F240" t="s">
        <v>28</v>
      </c>
      <c r="G240" s="6">
        <v>0</v>
      </c>
      <c r="H240" s="6">
        <v>43000</v>
      </c>
      <c r="J240" t="s">
        <v>994</v>
      </c>
      <c r="K240">
        <v>0</v>
      </c>
      <c r="L240">
        <v>1947</v>
      </c>
      <c r="M240">
        <f t="shared" si="9"/>
        <v>79</v>
      </c>
      <c r="N240" t="str">
        <v>Headquarters
1999 Bryan Street
Suite 3500 
Dallas, Texas    75201
United States
Main Phone: 214 583 8500
Main Fax: 214 638 0447</v>
      </c>
      <c r="O240" t="str">
        <f t="shared" si="10"/>
        <v>0</v>
      </c>
      <c r="P240">
        <v>16191.2</v>
      </c>
      <c r="Q240">
        <v>18695.2</v>
      </c>
      <c r="R240">
        <v>1279</v>
      </c>
      <c r="S240" s="4">
        <f t="shared" si="11"/>
        <v>14.617044566067241</v>
      </c>
      <c r="T240">
        <v>12390.1</v>
      </c>
      <c r="U240" s="1">
        <v>0.1032</v>
      </c>
    </row>
    <row r="241" spans="1:21" x14ac:dyDescent="0.3">
      <c r="A241" t="s">
        <v>995</v>
      </c>
      <c r="B241" t="s">
        <v>996</v>
      </c>
      <c r="C241" t="s">
        <v>20</v>
      </c>
      <c r="D241" t="s">
        <v>997</v>
      </c>
      <c r="E241" t="s">
        <v>22</v>
      </c>
      <c r="F241" t="s">
        <v>33</v>
      </c>
      <c r="G241" s="6">
        <v>0</v>
      </c>
      <c r="H241" s="6">
        <v>138200</v>
      </c>
      <c r="J241" t="s">
        <v>998</v>
      </c>
      <c r="K241">
        <v>0</v>
      </c>
      <c r="L241">
        <v>1886</v>
      </c>
      <c r="M241">
        <f t="shared" si="9"/>
        <v>140</v>
      </c>
      <c r="N241" t="str">
        <v>Headquarters
One Johnson &amp; Johnson Plaza 
New Brunswick, New Jersey    08933
United States
Main Phone: 732 524 0400</v>
      </c>
      <c r="O241" t="str">
        <f t="shared" si="10"/>
        <v>0</v>
      </c>
      <c r="P241">
        <v>598691.19999999995</v>
      </c>
      <c r="Q241">
        <v>627922.19999999995</v>
      </c>
      <c r="R241">
        <v>33836</v>
      </c>
      <c r="S241" s="4">
        <f t="shared" si="11"/>
        <v>18.557814162430546</v>
      </c>
      <c r="T241">
        <v>94193</v>
      </c>
      <c r="U241" s="1">
        <v>0.35920000000000002</v>
      </c>
    </row>
    <row r="242" spans="1:21" x14ac:dyDescent="0.3">
      <c r="A242" t="s">
        <v>999</v>
      </c>
      <c r="B242" t="s">
        <v>1000</v>
      </c>
      <c r="C242" t="s">
        <v>20</v>
      </c>
      <c r="D242" t="s">
        <v>1001</v>
      </c>
      <c r="E242" t="s">
        <v>22</v>
      </c>
      <c r="F242" t="s">
        <v>53</v>
      </c>
      <c r="G242" s="6">
        <v>1</v>
      </c>
      <c r="H242" s="6">
        <v>318512</v>
      </c>
      <c r="J242" t="s">
        <v>1002</v>
      </c>
      <c r="K242">
        <v>0</v>
      </c>
      <c r="L242">
        <v>1799</v>
      </c>
      <c r="M242">
        <f t="shared" si="9"/>
        <v>227</v>
      </c>
      <c r="N242" t="str">
        <v>Headquarters
270 Park Avenue 
New York, New York    10017
United States
Main Phone: 212 270 6000</v>
      </c>
      <c r="O242" t="str">
        <f t="shared" si="10"/>
        <v>0</v>
      </c>
      <c r="P242">
        <v>809918.8</v>
      </c>
      <c r="Q242" t="s">
        <v>91</v>
      </c>
      <c r="R242">
        <v>0</v>
      </c>
      <c r="S242" s="4" t="e">
        <f t="shared" si="11"/>
        <v>#VALUE!</v>
      </c>
      <c r="T242">
        <v>168235</v>
      </c>
      <c r="U242" s="1">
        <v>0</v>
      </c>
    </row>
    <row r="243" spans="1:21" x14ac:dyDescent="0.3">
      <c r="A243" t="s">
        <v>1003</v>
      </c>
      <c r="B243" t="s">
        <v>1004</v>
      </c>
      <c r="C243" t="s">
        <v>20</v>
      </c>
      <c r="D243" t="s">
        <v>1005</v>
      </c>
      <c r="E243" t="s">
        <v>22</v>
      </c>
      <c r="F243" t="s">
        <v>100</v>
      </c>
      <c r="G243" s="6">
        <v>0</v>
      </c>
      <c r="H243" s="6">
        <v>21890</v>
      </c>
      <c r="J243" t="s">
        <v>1006</v>
      </c>
      <c r="K243">
        <v>0</v>
      </c>
      <c r="L243">
        <v>2022</v>
      </c>
      <c r="M243">
        <f t="shared" si="9"/>
        <v>4</v>
      </c>
      <c r="N243" t="str">
        <v>Headquarters
1 Kenvue Way 
Summit, New Jersey    07901
United States
Main Phone: 908 874 1200</v>
      </c>
      <c r="O243" t="str">
        <f t="shared" si="10"/>
        <v>0</v>
      </c>
      <c r="P243">
        <v>36647.9</v>
      </c>
      <c r="Q243">
        <v>44259.9</v>
      </c>
      <c r="R243">
        <v>3243</v>
      </c>
      <c r="S243" s="4">
        <f t="shared" si="11"/>
        <v>13.647826086956522</v>
      </c>
      <c r="T243">
        <v>15124</v>
      </c>
      <c r="U243" s="1">
        <v>0.21440000000000001</v>
      </c>
    </row>
    <row r="244" spans="1:21" x14ac:dyDescent="0.3">
      <c r="A244" t="s">
        <v>1007</v>
      </c>
      <c r="B244" t="s">
        <v>1008</v>
      </c>
      <c r="C244" t="s">
        <v>41</v>
      </c>
      <c r="D244" t="s">
        <v>1009</v>
      </c>
      <c r="E244" t="s">
        <v>22</v>
      </c>
      <c r="F244" t="s">
        <v>100</v>
      </c>
      <c r="G244" s="6">
        <v>0</v>
      </c>
      <c r="H244" s="6">
        <v>30600</v>
      </c>
      <c r="J244" t="s">
        <v>1010</v>
      </c>
      <c r="K244">
        <v>0</v>
      </c>
      <c r="L244">
        <v>1981</v>
      </c>
      <c r="M244">
        <f t="shared" si="9"/>
        <v>45</v>
      </c>
      <c r="N244" t="str">
        <v>Headquarters
6425 Hall of Fame Lane 
Frisco, Texas    75034
United States
Main Phone: 800 527 7096</v>
      </c>
      <c r="O244" t="str">
        <f t="shared" si="10"/>
        <v>0</v>
      </c>
      <c r="P244">
        <v>41140.400000000001</v>
      </c>
      <c r="Q244">
        <v>59349.4</v>
      </c>
      <c r="R244">
        <v>4465</v>
      </c>
      <c r="S244" s="4">
        <f t="shared" si="11"/>
        <v>13.292138857782755</v>
      </c>
      <c r="T244">
        <v>16603</v>
      </c>
      <c r="U244" s="1">
        <v>0.26889999999999997</v>
      </c>
    </row>
    <row r="245" spans="1:21" x14ac:dyDescent="0.3">
      <c r="A245" t="s">
        <v>1011</v>
      </c>
      <c r="B245" t="s">
        <v>1012</v>
      </c>
      <c r="C245" t="s">
        <v>20</v>
      </c>
      <c r="D245" t="s">
        <v>1013</v>
      </c>
      <c r="E245" t="s">
        <v>22</v>
      </c>
      <c r="F245" t="s">
        <v>53</v>
      </c>
      <c r="G245" s="6">
        <v>1</v>
      </c>
      <c r="H245" s="6">
        <v>17883</v>
      </c>
      <c r="J245" t="s">
        <v>1014</v>
      </c>
      <c r="K245">
        <v>0</v>
      </c>
      <c r="L245">
        <v>1849</v>
      </c>
      <c r="M245">
        <f t="shared" si="9"/>
        <v>177</v>
      </c>
      <c r="N245" t="str">
        <v>Headquarters
127 Public Square 
Cleveland, Ohio    44114-1306
United States
Main Phone: 216 689 3000</v>
      </c>
      <c r="O245" t="str">
        <f t="shared" si="10"/>
        <v>0</v>
      </c>
      <c r="P245">
        <v>22599.3</v>
      </c>
      <c r="Q245" t="s">
        <v>91</v>
      </c>
      <c r="R245">
        <v>0</v>
      </c>
      <c r="S245" s="4" t="e">
        <f t="shared" si="11"/>
        <v>#VALUE!</v>
      </c>
      <c r="T245">
        <v>7007</v>
      </c>
      <c r="U245" s="1">
        <v>0</v>
      </c>
    </row>
    <row r="246" spans="1:21" x14ac:dyDescent="0.3">
      <c r="A246" t="s">
        <v>1015</v>
      </c>
      <c r="B246" t="s">
        <v>1016</v>
      </c>
      <c r="C246" t="s">
        <v>20</v>
      </c>
      <c r="D246" t="s">
        <v>1017</v>
      </c>
      <c r="E246" t="s">
        <v>22</v>
      </c>
      <c r="F246" t="s">
        <v>43</v>
      </c>
      <c r="G246" s="6">
        <v>0</v>
      </c>
      <c r="H246" s="6">
        <v>16800</v>
      </c>
      <c r="J246" t="s">
        <v>1018</v>
      </c>
      <c r="K246">
        <v>0</v>
      </c>
      <c r="L246">
        <v>1939</v>
      </c>
      <c r="M246">
        <f t="shared" si="9"/>
        <v>87</v>
      </c>
      <c r="N246" t="str">
        <v>Headquarters
1400 Fountaingrove Parkway 
Santa Rosa, California    95403-1738
United States
Main Phone: 800 829 4444
Main Fax: 800 829 4433</v>
      </c>
      <c r="O246" t="str">
        <f t="shared" si="10"/>
        <v>1</v>
      </c>
      <c r="P246">
        <v>52799.3</v>
      </c>
      <c r="Q246">
        <v>53393.3</v>
      </c>
      <c r="R246">
        <v>1283</v>
      </c>
      <c r="S246" s="4">
        <f t="shared" si="11"/>
        <v>41.615978176149653</v>
      </c>
      <c r="T246">
        <v>5677</v>
      </c>
      <c r="U246" s="1">
        <v>0.22600000000000001</v>
      </c>
    </row>
    <row r="247" spans="1:21" x14ac:dyDescent="0.3">
      <c r="A247" t="s">
        <v>1019</v>
      </c>
      <c r="B247" t="s">
        <v>1020</v>
      </c>
      <c r="C247" t="s">
        <v>41</v>
      </c>
      <c r="D247" t="s">
        <v>1021</v>
      </c>
      <c r="E247" t="s">
        <v>22</v>
      </c>
      <c r="F247" t="s">
        <v>100</v>
      </c>
      <c r="G247" s="6">
        <v>0</v>
      </c>
      <c r="H247" s="6">
        <v>36000</v>
      </c>
      <c r="J247" t="s">
        <v>1022</v>
      </c>
      <c r="K247">
        <v>0</v>
      </c>
      <c r="L247">
        <v>1872</v>
      </c>
      <c r="M247">
        <f t="shared" si="9"/>
        <v>154</v>
      </c>
      <c r="N247" t="str">
        <v>Headquarters
PO Box 619100 
Dallas, Texas    75261-9100
United States
Main Phone: 972 281 1200</v>
      </c>
      <c r="O247" t="str">
        <f t="shared" si="10"/>
        <v>0</v>
      </c>
      <c r="P247">
        <v>36989.4</v>
      </c>
      <c r="Q247">
        <v>43919.4</v>
      </c>
      <c r="R247">
        <v>3199</v>
      </c>
      <c r="S247" s="4">
        <f t="shared" si="11"/>
        <v>13.72910284463895</v>
      </c>
      <c r="T247">
        <v>16447</v>
      </c>
      <c r="U247" s="1">
        <v>0.19450000000000001</v>
      </c>
    </row>
    <row r="248" spans="1:21" x14ac:dyDescent="0.3">
      <c r="A248" t="s">
        <v>1023</v>
      </c>
      <c r="B248" t="s">
        <v>1024</v>
      </c>
      <c r="C248" t="s">
        <v>20</v>
      </c>
      <c r="D248" t="s">
        <v>1025</v>
      </c>
      <c r="E248" t="s">
        <v>22</v>
      </c>
      <c r="F248" t="s">
        <v>80</v>
      </c>
      <c r="G248" s="6">
        <v>0</v>
      </c>
      <c r="H248" s="6">
        <v>710</v>
      </c>
      <c r="J248" t="s">
        <v>1026</v>
      </c>
      <c r="K248">
        <v>0</v>
      </c>
      <c r="L248">
        <v>1958</v>
      </c>
      <c r="M248">
        <f t="shared" si="9"/>
        <v>68</v>
      </c>
      <c r="N248" t="str">
        <v>Headquarters
500 North Broadway
Suite 201 
Jericho, New York    11753-2128
United States
Main Phone: 516 869 9000
Main Fax: 516 869 9001
Other Phone: 833 800 4343</v>
      </c>
      <c r="O248" t="str">
        <f t="shared" si="10"/>
        <v>0</v>
      </c>
      <c r="P248">
        <v>15874.3</v>
      </c>
      <c r="Q248">
        <v>24153.3</v>
      </c>
      <c r="R248">
        <v>1310</v>
      </c>
      <c r="S248" s="4">
        <f t="shared" si="11"/>
        <v>18.437633587786259</v>
      </c>
      <c r="T248">
        <v>2140.1</v>
      </c>
      <c r="U248" s="1">
        <v>0.61209999999999998</v>
      </c>
    </row>
    <row r="249" spans="1:21" x14ac:dyDescent="0.3">
      <c r="A249" t="s">
        <v>1027</v>
      </c>
      <c r="B249" t="s">
        <v>1028</v>
      </c>
      <c r="C249" t="s">
        <v>20</v>
      </c>
      <c r="D249" t="s">
        <v>1029</v>
      </c>
      <c r="E249" t="s">
        <v>22</v>
      </c>
      <c r="F249" t="s">
        <v>153</v>
      </c>
      <c r="G249" s="6">
        <v>0</v>
      </c>
      <c r="H249" s="6">
        <v>11028</v>
      </c>
      <c r="I249" t="s">
        <v>1030</v>
      </c>
      <c r="J249" t="s">
        <v>1031</v>
      </c>
      <c r="K249">
        <v>1</v>
      </c>
      <c r="L249">
        <v>1997</v>
      </c>
      <c r="M249">
        <f t="shared" si="9"/>
        <v>29</v>
      </c>
      <c r="N249" t="str">
        <v>Headquarters
1001 Louisiana Street
Suite 1000 
Houston, Texas    77002
United States
Main Phone: 713 369 9000</v>
      </c>
      <c r="O249" t="str">
        <f t="shared" si="10"/>
        <v>0</v>
      </c>
      <c r="P249">
        <v>74019.3</v>
      </c>
      <c r="Q249">
        <v>107594.3</v>
      </c>
      <c r="R249">
        <v>7115</v>
      </c>
      <c r="S249" s="4">
        <f t="shared" si="11"/>
        <v>15.122178496134927</v>
      </c>
      <c r="T249">
        <v>16937</v>
      </c>
      <c r="U249" s="1">
        <v>0.42009999999999997</v>
      </c>
    </row>
    <row r="250" spans="1:21" x14ac:dyDescent="0.3">
      <c r="A250" t="s">
        <v>1032</v>
      </c>
      <c r="B250" t="s">
        <v>1033</v>
      </c>
      <c r="C250" t="s">
        <v>20</v>
      </c>
      <c r="D250" t="s">
        <v>1034</v>
      </c>
      <c r="E250" t="s">
        <v>22</v>
      </c>
      <c r="F250" t="s">
        <v>53</v>
      </c>
      <c r="G250" s="6">
        <v>1</v>
      </c>
      <c r="H250" s="6">
        <v>4834</v>
      </c>
      <c r="J250" t="s">
        <v>1035</v>
      </c>
      <c r="K250">
        <v>0</v>
      </c>
      <c r="L250">
        <v>1976</v>
      </c>
      <c r="M250">
        <f t="shared" si="9"/>
        <v>50</v>
      </c>
      <c r="N250" t="str">
        <v>Headquarters
30 Hudson Yards
Suite 7500 
New York, New York    10001
United States
Main Phone: 212 750 8300
Other Phone: 212 750 8300</v>
      </c>
      <c r="O250" t="str">
        <f t="shared" si="10"/>
        <v>0</v>
      </c>
      <c r="P250">
        <v>78171.199999999997</v>
      </c>
      <c r="Q250" t="s">
        <v>91</v>
      </c>
      <c r="R250">
        <v>0</v>
      </c>
      <c r="S250" s="4" t="e">
        <f t="shared" si="11"/>
        <v>#VALUE!</v>
      </c>
      <c r="T250">
        <v>25651.1</v>
      </c>
      <c r="U250" s="1">
        <v>0</v>
      </c>
    </row>
    <row r="251" spans="1:21" x14ac:dyDescent="0.3">
      <c r="A251" t="s">
        <v>1036</v>
      </c>
      <c r="B251" t="s">
        <v>1037</v>
      </c>
      <c r="C251" t="s">
        <v>41</v>
      </c>
      <c r="D251" t="s">
        <v>1038</v>
      </c>
      <c r="E251" t="s">
        <v>22</v>
      </c>
      <c r="F251" t="s">
        <v>43</v>
      </c>
      <c r="G251" s="6">
        <v>0</v>
      </c>
      <c r="H251" s="6">
        <v>15100</v>
      </c>
      <c r="J251" t="s">
        <v>1039</v>
      </c>
      <c r="K251">
        <v>0</v>
      </c>
      <c r="L251">
        <v>1975</v>
      </c>
      <c r="M251">
        <f t="shared" si="9"/>
        <v>51</v>
      </c>
      <c r="N251" t="str">
        <v>Headquarters
One Technology Drive 
Milpitas, California    95035
United States
Main Phone: 408 875 3000
Main Fax: 408 875 4875</v>
      </c>
      <c r="O251" t="str">
        <f t="shared" si="10"/>
        <v>1</v>
      </c>
      <c r="P251">
        <v>199832.8</v>
      </c>
      <c r="Q251">
        <v>200734.9</v>
      </c>
      <c r="R251">
        <v>5742.1</v>
      </c>
      <c r="S251" s="4">
        <f t="shared" si="11"/>
        <v>34.95844725797182</v>
      </c>
      <c r="T251">
        <v>12744.6</v>
      </c>
      <c r="U251" s="1">
        <v>0.4506</v>
      </c>
    </row>
    <row r="252" spans="1:21" x14ac:dyDescent="0.3">
      <c r="A252" t="s">
        <v>1040</v>
      </c>
      <c r="B252" t="s">
        <v>1041</v>
      </c>
      <c r="C252" t="s">
        <v>20</v>
      </c>
      <c r="D252" t="s">
        <v>1042</v>
      </c>
      <c r="E252" t="s">
        <v>22</v>
      </c>
      <c r="F252" t="s">
        <v>28</v>
      </c>
      <c r="G252" s="6">
        <v>0</v>
      </c>
      <c r="H252" s="6">
        <v>45000</v>
      </c>
      <c r="J252" t="s">
        <v>1043</v>
      </c>
      <c r="K252">
        <v>0</v>
      </c>
      <c r="L252">
        <v>1895</v>
      </c>
      <c r="M252">
        <f t="shared" si="9"/>
        <v>131</v>
      </c>
      <c r="N252" t="str">
        <v>Headquarters
1025 West NASA Boulevard 
Melbourne, Florida    32919
United States
Main Phone: 321 727 9100</v>
      </c>
      <c r="O252" t="str">
        <f t="shared" si="10"/>
        <v>0</v>
      </c>
      <c r="P252">
        <v>68087.399999999994</v>
      </c>
      <c r="Q252">
        <v>78919.399999999994</v>
      </c>
      <c r="R252">
        <v>4043</v>
      </c>
      <c r="S252" s="4">
        <f t="shared" si="11"/>
        <v>19.520009893643333</v>
      </c>
      <c r="T252">
        <v>21865</v>
      </c>
      <c r="U252" s="1">
        <v>0.18490000000000001</v>
      </c>
    </row>
    <row r="253" spans="1:21" x14ac:dyDescent="0.3">
      <c r="A253" t="s">
        <v>1044</v>
      </c>
      <c r="B253" t="s">
        <v>1045</v>
      </c>
      <c r="C253" t="s">
        <v>20</v>
      </c>
      <c r="D253" t="s">
        <v>1046</v>
      </c>
      <c r="E253" t="s">
        <v>22</v>
      </c>
      <c r="F253" t="s">
        <v>33</v>
      </c>
      <c r="G253" s="6">
        <v>0</v>
      </c>
      <c r="H253" s="6">
        <v>66385</v>
      </c>
      <c r="J253" t="s">
        <v>1047</v>
      </c>
      <c r="K253">
        <v>0</v>
      </c>
      <c r="L253">
        <v>1995</v>
      </c>
      <c r="M253">
        <f t="shared" si="9"/>
        <v>31</v>
      </c>
      <c r="N253" t="str">
        <v>Headquarters
358 South Main Street 
Burlington, North Carolina    27215
United States
Main Phone: 336 229 1127</v>
      </c>
      <c r="O253" t="str">
        <f t="shared" si="10"/>
        <v>0</v>
      </c>
      <c r="P253">
        <v>23823.5</v>
      </c>
      <c r="Q253">
        <v>29834.1</v>
      </c>
      <c r="R253">
        <v>2191.6999999999998</v>
      </c>
      <c r="S253" s="4">
        <f t="shared" si="11"/>
        <v>13.612310078934161</v>
      </c>
      <c r="T253">
        <v>13951.7</v>
      </c>
      <c r="U253" s="1">
        <v>0.15709999999999999</v>
      </c>
    </row>
    <row r="254" spans="1:21" x14ac:dyDescent="0.3">
      <c r="A254" t="s">
        <v>1048</v>
      </c>
      <c r="B254" t="s">
        <v>1049</v>
      </c>
      <c r="C254" t="s">
        <v>41</v>
      </c>
      <c r="D254" t="s">
        <v>1050</v>
      </c>
      <c r="E254" t="s">
        <v>22</v>
      </c>
      <c r="F254" t="s">
        <v>43</v>
      </c>
      <c r="G254" s="6">
        <v>0</v>
      </c>
      <c r="H254" s="6">
        <v>19700</v>
      </c>
      <c r="J254" t="s">
        <v>1051</v>
      </c>
      <c r="K254">
        <v>0</v>
      </c>
      <c r="L254">
        <v>1980</v>
      </c>
      <c r="M254">
        <f t="shared" si="9"/>
        <v>46</v>
      </c>
      <c r="N254" t="str">
        <v>Headquarters
4650 Cushing Parkway 
Fremont, California    94538
United States
Main Phone: 510 572 0200</v>
      </c>
      <c r="O254" t="str">
        <f t="shared" si="10"/>
        <v>1</v>
      </c>
      <c r="P254">
        <v>292075</v>
      </c>
      <c r="Q254">
        <v>290378.40000000002</v>
      </c>
      <c r="R254">
        <v>7343.5</v>
      </c>
      <c r="S254" s="4">
        <f t="shared" si="11"/>
        <v>39.54223462926398</v>
      </c>
      <c r="T254">
        <v>20560.5</v>
      </c>
      <c r="U254" s="1">
        <v>0.35720000000000002</v>
      </c>
    </row>
    <row r="255" spans="1:21" x14ac:dyDescent="0.3">
      <c r="A255" t="s">
        <v>1052</v>
      </c>
      <c r="B255" t="s">
        <v>1053</v>
      </c>
      <c r="C255" t="s">
        <v>20</v>
      </c>
      <c r="D255" t="s">
        <v>1054</v>
      </c>
      <c r="E255" t="s">
        <v>22</v>
      </c>
      <c r="F255" t="s">
        <v>100</v>
      </c>
      <c r="G255" s="6">
        <v>0</v>
      </c>
      <c r="H255" s="6">
        <v>10100</v>
      </c>
      <c r="J255" t="s">
        <v>1055</v>
      </c>
      <c r="K255">
        <v>0</v>
      </c>
      <c r="L255">
        <v>1950</v>
      </c>
      <c r="M255">
        <f t="shared" si="9"/>
        <v>76</v>
      </c>
      <c r="N255" t="str">
        <v/>
      </c>
      <c r="O255" t="str">
        <f t="shared" si="10"/>
        <v>0</v>
      </c>
      <c r="P255">
        <v>6692.6</v>
      </c>
      <c r="Q255">
        <v>10554.6</v>
      </c>
      <c r="R255">
        <v>1231</v>
      </c>
      <c r="S255" s="4">
        <f t="shared" si="11"/>
        <v>8.5740048740861088</v>
      </c>
      <c r="T255">
        <v>6473.6</v>
      </c>
      <c r="U255" s="1">
        <v>0.19020000000000001</v>
      </c>
    </row>
    <row r="256" spans="1:21" x14ac:dyDescent="0.3">
      <c r="A256" t="s">
        <v>1056</v>
      </c>
      <c r="B256" t="s">
        <v>1057</v>
      </c>
      <c r="C256" t="s">
        <v>20</v>
      </c>
      <c r="D256" t="s">
        <v>1058</v>
      </c>
      <c r="E256" t="s">
        <v>22</v>
      </c>
      <c r="F256" t="s">
        <v>67</v>
      </c>
      <c r="G256" s="6">
        <v>0</v>
      </c>
      <c r="H256" s="6">
        <v>41250</v>
      </c>
      <c r="J256" t="s">
        <v>1059</v>
      </c>
      <c r="K256">
        <v>0</v>
      </c>
      <c r="L256">
        <v>1988</v>
      </c>
      <c r="M256">
        <f t="shared" si="9"/>
        <v>38</v>
      </c>
      <c r="N256" t="str">
        <v>Headquarters
5420 S. Durango Dr 
Las Vegas, Nevada    89113
United States
Main Phone: 702 923 9000</v>
      </c>
      <c r="O256" t="str">
        <f t="shared" si="10"/>
        <v>0</v>
      </c>
      <c r="P256">
        <v>38108.9</v>
      </c>
      <c r="Q256">
        <v>50645.9</v>
      </c>
      <c r="R256">
        <v>4533</v>
      </c>
      <c r="S256" s="4">
        <f t="shared" si="11"/>
        <v>11.172711228766822</v>
      </c>
      <c r="T256">
        <v>13017</v>
      </c>
      <c r="U256" s="1">
        <v>0.34820000000000001</v>
      </c>
    </row>
    <row r="257" spans="1:21" x14ac:dyDescent="0.3">
      <c r="A257" t="s">
        <v>1060</v>
      </c>
      <c r="B257" t="s">
        <v>1061</v>
      </c>
      <c r="C257" t="s">
        <v>20</v>
      </c>
      <c r="D257" t="s">
        <v>1062</v>
      </c>
      <c r="E257" t="s">
        <v>22</v>
      </c>
      <c r="F257" t="s">
        <v>28</v>
      </c>
      <c r="G257" s="6">
        <v>0</v>
      </c>
      <c r="H257" s="6">
        <v>47000</v>
      </c>
      <c r="J257" t="s">
        <v>1063</v>
      </c>
      <c r="K257">
        <v>0</v>
      </c>
      <c r="L257">
        <v>1969</v>
      </c>
      <c r="M257">
        <f t="shared" si="9"/>
        <v>57</v>
      </c>
      <c r="N257" t="str">
        <v>Headquarters
1750 Presidents Street 
Reston, Virginia    20190
United States
Main Phone: 571 526 6000</v>
      </c>
      <c r="O257" t="str">
        <f t="shared" si="10"/>
        <v>0</v>
      </c>
      <c r="P257">
        <v>22131.4</v>
      </c>
      <c r="Q257">
        <v>26411.4</v>
      </c>
      <c r="R257">
        <v>2390</v>
      </c>
      <c r="S257" s="4">
        <f t="shared" si="11"/>
        <v>11.050794979079498</v>
      </c>
      <c r="T257">
        <v>17174</v>
      </c>
      <c r="U257" s="1">
        <v>0.13919999999999999</v>
      </c>
    </row>
    <row r="258" spans="1:21" x14ac:dyDescent="0.3">
      <c r="A258" t="s">
        <v>1064</v>
      </c>
      <c r="B258" t="s">
        <v>1065</v>
      </c>
      <c r="C258" t="s">
        <v>20</v>
      </c>
      <c r="D258" t="s">
        <v>1066</v>
      </c>
      <c r="E258" t="s">
        <v>22</v>
      </c>
      <c r="F258" t="s">
        <v>67</v>
      </c>
      <c r="G258" s="6">
        <v>0</v>
      </c>
      <c r="H258" s="6">
        <v>12532</v>
      </c>
      <c r="J258" t="s">
        <v>1067</v>
      </c>
      <c r="K258">
        <v>0</v>
      </c>
      <c r="L258">
        <v>1954</v>
      </c>
      <c r="M258">
        <f t="shared" si="9"/>
        <v>72</v>
      </c>
      <c r="N258" t="str">
        <v>Headquarters
5505 Waterford District Drive 
Miami, Florida    33126
United States
Main Phone: 305 559 4000</v>
      </c>
      <c r="O258" t="str">
        <f t="shared" si="10"/>
        <v>0</v>
      </c>
      <c r="P258">
        <v>28080.6</v>
      </c>
      <c r="Q258">
        <v>24519.8</v>
      </c>
      <c r="R258">
        <v>2992.3</v>
      </c>
      <c r="S258" s="4">
        <f t="shared" si="11"/>
        <v>8.1942986999966578</v>
      </c>
      <c r="T258">
        <v>34186.9</v>
      </c>
      <c r="U258" s="1">
        <v>8.7499999999999994E-2</v>
      </c>
    </row>
    <row r="259" spans="1:21" x14ac:dyDescent="0.3">
      <c r="A259" t="s">
        <v>1068</v>
      </c>
      <c r="B259" t="s">
        <v>1069</v>
      </c>
      <c r="C259" t="s">
        <v>20</v>
      </c>
      <c r="D259" t="s">
        <v>1070</v>
      </c>
      <c r="E259" t="s">
        <v>22</v>
      </c>
      <c r="F259" t="s">
        <v>28</v>
      </c>
      <c r="G259" s="6">
        <v>0</v>
      </c>
      <c r="H259" s="6">
        <v>5400</v>
      </c>
      <c r="J259" t="s">
        <v>1071</v>
      </c>
      <c r="K259">
        <v>0</v>
      </c>
      <c r="L259">
        <v>1895</v>
      </c>
      <c r="M259">
        <f t="shared" ref="M259:M322" si="12">2026-L259</f>
        <v>131</v>
      </c>
      <c r="N259" t="str">
        <v>Headquarters
2140 Lake Park Blvd. 
Richardson, Texas    75080
United States
Main Phone: 972 497 5000</v>
      </c>
      <c r="O259" t="str">
        <f t="shared" ref="O259:O322" si="13">IF(ISNUMBER(SEARCH("california",N259)),"1","0")</f>
        <v>0</v>
      </c>
      <c r="P259">
        <v>19835.599999999999</v>
      </c>
      <c r="Q259">
        <v>21571.599999999999</v>
      </c>
      <c r="R259">
        <v>1154.8</v>
      </c>
      <c r="S259" s="4">
        <f t="shared" ref="S259:S322" si="14">Q259/R259</f>
        <v>18.679944579147904</v>
      </c>
      <c r="T259">
        <v>5195.3</v>
      </c>
      <c r="U259" s="1">
        <v>0.2223</v>
      </c>
    </row>
    <row r="260" spans="1:21" x14ac:dyDescent="0.3">
      <c r="A260" t="s">
        <v>1072</v>
      </c>
      <c r="B260" t="s">
        <v>1073</v>
      </c>
      <c r="C260" t="s">
        <v>20</v>
      </c>
      <c r="D260" t="s">
        <v>1074</v>
      </c>
      <c r="E260" t="s">
        <v>22</v>
      </c>
      <c r="F260" t="s">
        <v>95</v>
      </c>
      <c r="G260" s="6">
        <v>0</v>
      </c>
      <c r="H260" s="6">
        <v>17700</v>
      </c>
      <c r="J260" t="s">
        <v>1075</v>
      </c>
      <c r="K260">
        <v>0</v>
      </c>
      <c r="L260">
        <v>2005</v>
      </c>
      <c r="M260">
        <f t="shared" si="12"/>
        <v>21</v>
      </c>
      <c r="N260" t="str">
        <v>Headquarters
9348 Civic Center Drive 
Beverly Hills, California    90210
United States
Main Phone: 310 867 7000</v>
      </c>
      <c r="O260" t="str">
        <f t="shared" si="13"/>
        <v>1</v>
      </c>
      <c r="P260">
        <v>37676.199999999997</v>
      </c>
      <c r="Q260">
        <v>42534.2</v>
      </c>
      <c r="R260">
        <v>1963</v>
      </c>
      <c r="S260" s="4">
        <f t="shared" si="14"/>
        <v>21.667957208354558</v>
      </c>
      <c r="T260">
        <v>25201.4</v>
      </c>
      <c r="U260" s="1">
        <v>7.7899999999999997E-2</v>
      </c>
    </row>
    <row r="261" spans="1:21" x14ac:dyDescent="0.3">
      <c r="A261" t="s">
        <v>1076</v>
      </c>
      <c r="B261" t="s">
        <v>1077</v>
      </c>
      <c r="C261" t="s">
        <v>20</v>
      </c>
      <c r="D261" t="s">
        <v>1078</v>
      </c>
      <c r="E261" t="s">
        <v>22</v>
      </c>
      <c r="F261" t="s">
        <v>28</v>
      </c>
      <c r="G261" s="6">
        <v>0</v>
      </c>
      <c r="H261" s="6">
        <v>123000</v>
      </c>
      <c r="J261" t="s">
        <v>1079</v>
      </c>
      <c r="K261">
        <v>0</v>
      </c>
      <c r="L261">
        <v>1912</v>
      </c>
      <c r="M261">
        <f t="shared" si="12"/>
        <v>114</v>
      </c>
      <c r="N261" t="str">
        <v>Headquarters
6801 Rockledge Drive 
Bethesda, Maryland    20817
United States
Main Phone: 301 897 6000
Main Fax: 720 479 2750</v>
      </c>
      <c r="O261" t="str">
        <f t="shared" si="13"/>
        <v>0</v>
      </c>
      <c r="P261">
        <v>151411.20000000001</v>
      </c>
      <c r="Q261">
        <v>170061.2</v>
      </c>
      <c r="R261">
        <v>8285</v>
      </c>
      <c r="S261" s="4">
        <f t="shared" si="14"/>
        <v>20.526397103198551</v>
      </c>
      <c r="T261">
        <v>75048</v>
      </c>
      <c r="U261" s="1">
        <v>0.1104</v>
      </c>
    </row>
    <row r="262" spans="1:21" x14ac:dyDescent="0.3">
      <c r="A262" t="s">
        <v>1080</v>
      </c>
      <c r="B262" t="s">
        <v>1081</v>
      </c>
      <c r="C262" t="s">
        <v>20</v>
      </c>
      <c r="D262" t="s">
        <v>1082</v>
      </c>
      <c r="E262" t="s">
        <v>22</v>
      </c>
      <c r="F262" t="s">
        <v>53</v>
      </c>
      <c r="G262" s="6">
        <v>1</v>
      </c>
      <c r="H262" s="6">
        <v>13100</v>
      </c>
      <c r="J262" t="s">
        <v>1083</v>
      </c>
      <c r="K262">
        <v>0</v>
      </c>
      <c r="L262">
        <v>1969</v>
      </c>
      <c r="M262">
        <f t="shared" si="12"/>
        <v>57</v>
      </c>
      <c r="N262" t="str">
        <v>Headquarters
9 West 57th Street 
New York, New York    10019-2714
United States
Main Phone: 212 521 2000</v>
      </c>
      <c r="O262" t="str">
        <f t="shared" si="13"/>
        <v>0</v>
      </c>
      <c r="P262">
        <v>22669.9</v>
      </c>
      <c r="Q262">
        <v>32993.9</v>
      </c>
      <c r="R262">
        <v>3256</v>
      </c>
      <c r="S262" s="4">
        <f t="shared" si="14"/>
        <v>10.133261670761671</v>
      </c>
      <c r="T262">
        <v>18454</v>
      </c>
      <c r="U262" s="1">
        <v>0.1764</v>
      </c>
    </row>
    <row r="263" spans="1:21" x14ac:dyDescent="0.3">
      <c r="A263" t="s">
        <v>1084</v>
      </c>
      <c r="B263" t="s">
        <v>1085</v>
      </c>
      <c r="C263" t="s">
        <v>20</v>
      </c>
      <c r="D263" t="s">
        <v>1086</v>
      </c>
      <c r="E263" t="s">
        <v>22</v>
      </c>
      <c r="F263" t="s">
        <v>67</v>
      </c>
      <c r="G263" s="6">
        <v>0</v>
      </c>
      <c r="H263" s="6">
        <v>300000</v>
      </c>
      <c r="J263" t="s">
        <v>1087</v>
      </c>
      <c r="K263">
        <v>0</v>
      </c>
      <c r="L263">
        <v>1921</v>
      </c>
      <c r="M263">
        <f t="shared" si="12"/>
        <v>105</v>
      </c>
      <c r="N263" t="str">
        <v>Headquarters
1000 Lowes Boulevard 
Mooresville, North Carolina    28117
United States
Main Phone: 704 758 1000</v>
      </c>
      <c r="O263" t="str">
        <f t="shared" si="13"/>
        <v>0</v>
      </c>
      <c r="P263">
        <v>148410.9</v>
      </c>
      <c r="Q263">
        <v>191735.9</v>
      </c>
      <c r="R263">
        <v>12347</v>
      </c>
      <c r="S263" s="4">
        <f t="shared" si="14"/>
        <v>15.528946302745606</v>
      </c>
      <c r="T263">
        <v>86286</v>
      </c>
      <c r="U263" s="1">
        <v>0.1431</v>
      </c>
    </row>
    <row r="264" spans="1:21" x14ac:dyDescent="0.3">
      <c r="A264" t="s">
        <v>1088</v>
      </c>
      <c r="B264" t="s">
        <v>1089</v>
      </c>
      <c r="C264" t="s">
        <v>20</v>
      </c>
      <c r="D264" t="s">
        <v>1090</v>
      </c>
      <c r="E264" t="s">
        <v>22</v>
      </c>
      <c r="F264" t="s">
        <v>53</v>
      </c>
      <c r="G264" s="6">
        <v>1</v>
      </c>
      <c r="H264" s="6">
        <v>22059</v>
      </c>
      <c r="J264" t="s">
        <v>1091</v>
      </c>
      <c r="K264">
        <v>0</v>
      </c>
      <c r="L264">
        <v>1856</v>
      </c>
      <c r="M264">
        <f t="shared" si="12"/>
        <v>170</v>
      </c>
      <c r="N264" t="str">
        <v>Headquarters
One M&amp;T Plaza 
Buffalo, New York    14203
United States
Main Phone: 716 635 4000</v>
      </c>
      <c r="O264" t="str">
        <f t="shared" si="13"/>
        <v>0</v>
      </c>
      <c r="P264">
        <v>32330.1</v>
      </c>
      <c r="Q264" t="s">
        <v>91</v>
      </c>
      <c r="R264">
        <v>0</v>
      </c>
      <c r="S264" s="4" t="e">
        <f t="shared" si="14"/>
        <v>#VALUE!</v>
      </c>
      <c r="T264">
        <v>9185</v>
      </c>
      <c r="U264" s="1">
        <v>0</v>
      </c>
    </row>
    <row r="265" spans="1:21" x14ac:dyDescent="0.3">
      <c r="A265" t="s">
        <v>1092</v>
      </c>
      <c r="B265" t="s">
        <v>1093</v>
      </c>
      <c r="C265" t="s">
        <v>20</v>
      </c>
      <c r="D265" t="s">
        <v>1094</v>
      </c>
      <c r="E265" t="s">
        <v>22</v>
      </c>
      <c r="F265" t="s">
        <v>153</v>
      </c>
      <c r="G265" s="6">
        <v>0</v>
      </c>
      <c r="H265" s="6">
        <v>18500</v>
      </c>
      <c r="I265" t="s">
        <v>1095</v>
      </c>
      <c r="J265" t="s">
        <v>1095</v>
      </c>
      <c r="K265">
        <v>1</v>
      </c>
      <c r="L265">
        <v>1887</v>
      </c>
      <c r="M265">
        <f t="shared" si="12"/>
        <v>139</v>
      </c>
      <c r="N265" t="str">
        <v>Headquarters
539 South Main Street 
Findlay, Ohio    45840-3229
United States
Main Phone: 419 422 2121</v>
      </c>
      <c r="O265" t="str">
        <f t="shared" si="13"/>
        <v>0</v>
      </c>
      <c r="P265">
        <v>58420.4</v>
      </c>
      <c r="Q265">
        <v>95878.399999999994</v>
      </c>
      <c r="R265">
        <v>9724</v>
      </c>
      <c r="S265" s="4">
        <f t="shared" si="14"/>
        <v>9.8599753187988473</v>
      </c>
      <c r="T265">
        <v>133427</v>
      </c>
      <c r="U265" s="1">
        <v>7.2900000000000006E-2</v>
      </c>
    </row>
    <row r="266" spans="1:21" x14ac:dyDescent="0.3">
      <c r="A266" t="s">
        <v>1096</v>
      </c>
      <c r="B266" t="s">
        <v>1097</v>
      </c>
      <c r="C266" t="s">
        <v>41</v>
      </c>
      <c r="D266" t="s">
        <v>1098</v>
      </c>
      <c r="E266" t="s">
        <v>22</v>
      </c>
      <c r="F266" t="s">
        <v>67</v>
      </c>
      <c r="G266" s="6">
        <v>0</v>
      </c>
      <c r="H266" s="6">
        <v>414000</v>
      </c>
      <c r="J266" t="s">
        <v>1099</v>
      </c>
      <c r="K266">
        <v>0</v>
      </c>
      <c r="L266">
        <v>1927</v>
      </c>
      <c r="M266">
        <f t="shared" si="12"/>
        <v>99</v>
      </c>
      <c r="N266" t="str">
        <v>Headquarters
7750 Wisconsin Avenue 
Bethesda, Maryland    20814
United States
Main Phone: 301 380 3000</v>
      </c>
      <c r="O266" t="str">
        <f t="shared" si="13"/>
        <v>0</v>
      </c>
      <c r="P266">
        <v>90553.2</v>
      </c>
      <c r="Q266">
        <v>107377.2</v>
      </c>
      <c r="R266">
        <v>4597</v>
      </c>
      <c r="S266" s="4">
        <f t="shared" si="14"/>
        <v>23.358103110724386</v>
      </c>
      <c r="T266">
        <v>26321</v>
      </c>
      <c r="U266" s="1">
        <v>0.17469999999999999</v>
      </c>
    </row>
    <row r="267" spans="1:21" x14ac:dyDescent="0.3">
      <c r="A267" t="s">
        <v>1100</v>
      </c>
      <c r="B267" t="s">
        <v>1101</v>
      </c>
      <c r="C267" t="s">
        <v>20</v>
      </c>
      <c r="D267" t="s">
        <v>1102</v>
      </c>
      <c r="E267" t="s">
        <v>22</v>
      </c>
      <c r="F267" t="s">
        <v>53</v>
      </c>
      <c r="G267" s="6">
        <v>1</v>
      </c>
      <c r="H267" s="6">
        <v>95000</v>
      </c>
      <c r="J267" t="s">
        <v>1103</v>
      </c>
      <c r="K267">
        <v>0</v>
      </c>
      <c r="L267">
        <v>1871</v>
      </c>
      <c r="M267">
        <f t="shared" si="12"/>
        <v>155</v>
      </c>
      <c r="N267" t="str">
        <v>Headquarters
1166 Avenue of the Americas 
New York, New York    10036-2774
United States
Main Phone: 212-345-5000</v>
      </c>
      <c r="O267" t="str">
        <f t="shared" si="13"/>
        <v>0</v>
      </c>
      <c r="P267">
        <v>90405.4</v>
      </c>
      <c r="Q267">
        <v>109382.39999999999</v>
      </c>
      <c r="R267">
        <v>7831</v>
      </c>
      <c r="S267" s="4">
        <f t="shared" si="14"/>
        <v>13.967871280807048</v>
      </c>
      <c r="T267">
        <v>26981</v>
      </c>
      <c r="U267" s="1">
        <v>0.29020000000000001</v>
      </c>
    </row>
    <row r="268" spans="1:21" x14ac:dyDescent="0.3">
      <c r="A268" t="s">
        <v>1104</v>
      </c>
      <c r="B268" t="s">
        <v>1105</v>
      </c>
      <c r="C268" t="s">
        <v>20</v>
      </c>
      <c r="D268" t="s">
        <v>1106</v>
      </c>
      <c r="E268" t="s">
        <v>22</v>
      </c>
      <c r="F268" t="s">
        <v>62</v>
      </c>
      <c r="G268" s="6">
        <v>0</v>
      </c>
      <c r="H268" s="6">
        <v>9600</v>
      </c>
      <c r="J268" t="s">
        <v>1107</v>
      </c>
      <c r="K268">
        <v>0</v>
      </c>
      <c r="L268">
        <v>1939</v>
      </c>
      <c r="M268">
        <f t="shared" si="12"/>
        <v>87</v>
      </c>
      <c r="N268" t="str">
        <v>Headquarters
4123 Parklake Avenue 
Raleigh, North Carolina    27612
United States
Main Phone: 919 781 4550</v>
      </c>
      <c r="O268" t="str">
        <f t="shared" si="13"/>
        <v>0</v>
      </c>
      <c r="P268">
        <v>40805.300000000003</v>
      </c>
      <c r="Q268">
        <v>46747.3</v>
      </c>
      <c r="R268">
        <v>2109</v>
      </c>
      <c r="S268" s="4">
        <f t="shared" si="14"/>
        <v>22.165623518255099</v>
      </c>
      <c r="T268">
        <v>6150</v>
      </c>
      <c r="U268" s="1">
        <v>0.34289999999999998</v>
      </c>
    </row>
    <row r="269" spans="1:21" x14ac:dyDescent="0.3">
      <c r="A269" t="s">
        <v>1108</v>
      </c>
      <c r="B269" t="s">
        <v>1109</v>
      </c>
      <c r="C269" t="s">
        <v>20</v>
      </c>
      <c r="D269" t="s">
        <v>1110</v>
      </c>
      <c r="E269" t="s">
        <v>22</v>
      </c>
      <c r="F269" t="s">
        <v>28</v>
      </c>
      <c r="G269" s="6">
        <v>0</v>
      </c>
      <c r="H269" s="6">
        <v>18000</v>
      </c>
      <c r="J269" t="s">
        <v>1111</v>
      </c>
      <c r="K269">
        <v>0</v>
      </c>
      <c r="L269">
        <v>1929</v>
      </c>
      <c r="M269">
        <f t="shared" si="12"/>
        <v>97</v>
      </c>
      <c r="N269" t="str">
        <v>Headquarters
17450 College Parkway 
Livonia, Michigan    48152
United States
Main Phone: 313 274 7400
Main Fax: 313 792 4177</v>
      </c>
      <c r="O269" t="str">
        <f t="shared" si="13"/>
        <v>0</v>
      </c>
      <c r="P269">
        <v>14582.3</v>
      </c>
      <c r="Q269">
        <v>17411.3</v>
      </c>
      <c r="R269">
        <v>1414</v>
      </c>
      <c r="S269" s="4">
        <f t="shared" si="14"/>
        <v>12.313507779349363</v>
      </c>
      <c r="T269">
        <v>7562</v>
      </c>
      <c r="U269" s="1">
        <v>0.187</v>
      </c>
    </row>
    <row r="270" spans="1:21" x14ac:dyDescent="0.3">
      <c r="A270" t="s">
        <v>1112</v>
      </c>
      <c r="B270" t="s">
        <v>1113</v>
      </c>
      <c r="C270" t="s">
        <v>20</v>
      </c>
      <c r="D270" t="s">
        <v>1114</v>
      </c>
      <c r="E270" t="s">
        <v>22</v>
      </c>
      <c r="F270" t="s">
        <v>53</v>
      </c>
      <c r="G270" s="6">
        <v>1</v>
      </c>
      <c r="H270" s="6">
        <v>39800</v>
      </c>
      <c r="J270" t="s">
        <v>1115</v>
      </c>
      <c r="K270">
        <v>0</v>
      </c>
      <c r="L270">
        <v>1966</v>
      </c>
      <c r="M270">
        <f t="shared" si="12"/>
        <v>60</v>
      </c>
      <c r="N270" t="str">
        <v>Headquarters
2000 Purchase Street 
Purchase, New York    10577
United States
Main Phone: 914 249 2000</v>
      </c>
      <c r="O270" t="str">
        <f t="shared" si="13"/>
        <v>0</v>
      </c>
      <c r="P270">
        <v>461254.2</v>
      </c>
      <c r="Q270">
        <v>469995.2</v>
      </c>
      <c r="R270">
        <v>20544</v>
      </c>
      <c r="S270" s="4">
        <f t="shared" si="14"/>
        <v>22.877492211838007</v>
      </c>
      <c r="T270">
        <v>32791</v>
      </c>
      <c r="U270" s="1">
        <v>0.62649999999999995</v>
      </c>
    </row>
    <row r="271" spans="1:21" x14ac:dyDescent="0.3">
      <c r="A271" t="s">
        <v>1116</v>
      </c>
      <c r="B271" t="s">
        <v>1117</v>
      </c>
      <c r="C271" t="s">
        <v>41</v>
      </c>
      <c r="D271" t="s">
        <v>1118</v>
      </c>
      <c r="E271" t="s">
        <v>22</v>
      </c>
      <c r="F271" t="s">
        <v>95</v>
      </c>
      <c r="G271" s="6">
        <v>0</v>
      </c>
      <c r="H271" s="6">
        <v>2205</v>
      </c>
      <c r="J271" t="s">
        <v>1119</v>
      </c>
      <c r="K271">
        <v>0</v>
      </c>
      <c r="L271">
        <v>1986</v>
      </c>
      <c r="M271">
        <f t="shared" si="12"/>
        <v>40</v>
      </c>
      <c r="N271" t="str">
        <v/>
      </c>
      <c r="O271" t="str">
        <f t="shared" si="13"/>
        <v>0</v>
      </c>
      <c r="P271">
        <v>7351.6</v>
      </c>
      <c r="Q271">
        <v>10411.4</v>
      </c>
      <c r="R271">
        <v>1052.7</v>
      </c>
      <c r="S271" s="4">
        <f t="shared" si="14"/>
        <v>9.8901871378360404</v>
      </c>
      <c r="T271">
        <v>3487.2</v>
      </c>
      <c r="U271" s="1">
        <v>0.3019</v>
      </c>
    </row>
    <row r="272" spans="1:21" x14ac:dyDescent="0.3">
      <c r="A272" t="s">
        <v>1120</v>
      </c>
      <c r="B272" t="s">
        <v>1121</v>
      </c>
      <c r="C272" t="s">
        <v>20</v>
      </c>
      <c r="D272" t="s">
        <v>1122</v>
      </c>
      <c r="E272" t="s">
        <v>22</v>
      </c>
      <c r="F272" t="s">
        <v>100</v>
      </c>
      <c r="G272" s="6">
        <v>0</v>
      </c>
      <c r="H272" s="6">
        <v>14100</v>
      </c>
      <c r="J272" t="s">
        <v>1123</v>
      </c>
      <c r="K272">
        <v>0</v>
      </c>
      <c r="L272">
        <v>1889</v>
      </c>
      <c r="M272">
        <f t="shared" si="12"/>
        <v>137</v>
      </c>
      <c r="N272" t="str">
        <v>Headquarters
24 Schilling Road
Suite 1 
Hunt Valley, Maryland    21031
United States
Main Phone: 410 771 7301</v>
      </c>
      <c r="O272" t="str">
        <f t="shared" si="13"/>
        <v>0</v>
      </c>
      <c r="P272">
        <v>19066.3</v>
      </c>
      <c r="Q272">
        <v>23224.9</v>
      </c>
      <c r="R272">
        <v>1305.8</v>
      </c>
      <c r="S272" s="4">
        <f t="shared" si="14"/>
        <v>17.785954970133254</v>
      </c>
      <c r="T272">
        <v>6840.3</v>
      </c>
      <c r="U272" s="1">
        <v>0.19089999999999999</v>
      </c>
    </row>
    <row r="273" spans="1:21" x14ac:dyDescent="0.3">
      <c r="A273" t="s">
        <v>1124</v>
      </c>
      <c r="B273" t="s">
        <v>1125</v>
      </c>
      <c r="C273" t="s">
        <v>20</v>
      </c>
      <c r="D273" t="s">
        <v>1126</v>
      </c>
      <c r="E273" t="s">
        <v>22</v>
      </c>
      <c r="F273" t="s">
        <v>67</v>
      </c>
      <c r="G273" s="6">
        <v>0</v>
      </c>
      <c r="H273" s="6">
        <v>150000</v>
      </c>
      <c r="J273" t="s">
        <v>1127</v>
      </c>
      <c r="K273">
        <v>0</v>
      </c>
      <c r="L273">
        <v>1940</v>
      </c>
      <c r="M273">
        <f t="shared" si="12"/>
        <v>86</v>
      </c>
      <c r="N273" t="str">
        <v>Headquarters
110 North Carpenter Street 
Chicago, Illinois    60607
United States
Main Phone: 630 623 3000</v>
      </c>
      <c r="O273" t="str">
        <f t="shared" si="13"/>
        <v>0</v>
      </c>
      <c r="P273">
        <v>242288.6</v>
      </c>
      <c r="Q273">
        <v>296344.59999999998</v>
      </c>
      <c r="R273">
        <v>14594</v>
      </c>
      <c r="S273" s="4">
        <f t="shared" si="14"/>
        <v>20.305920241195011</v>
      </c>
      <c r="T273">
        <v>26885</v>
      </c>
      <c r="U273" s="1">
        <v>0.54279999999999995</v>
      </c>
    </row>
    <row r="274" spans="1:21" x14ac:dyDescent="0.3">
      <c r="A274" t="s">
        <v>1128</v>
      </c>
      <c r="B274" t="s">
        <v>1129</v>
      </c>
      <c r="C274" t="s">
        <v>20</v>
      </c>
      <c r="D274" t="s">
        <v>1130</v>
      </c>
      <c r="E274" t="s">
        <v>22</v>
      </c>
      <c r="F274" t="s">
        <v>33</v>
      </c>
      <c r="G274" s="6">
        <v>0</v>
      </c>
      <c r="H274" s="6">
        <v>44000</v>
      </c>
      <c r="J274" t="s">
        <v>1131</v>
      </c>
      <c r="K274">
        <v>0</v>
      </c>
      <c r="L274">
        <v>1833</v>
      </c>
      <c r="M274">
        <f t="shared" si="12"/>
        <v>193</v>
      </c>
      <c r="N274" t="str">
        <v>Headquarters
6555 State Highway 161 
Irving, Texas    75039
United States
Main Phone: 972 446 4800</v>
      </c>
      <c r="O274" t="str">
        <f t="shared" si="13"/>
        <v>0</v>
      </c>
      <c r="P274">
        <v>120940.4</v>
      </c>
      <c r="Q274">
        <v>127915.4</v>
      </c>
      <c r="R274">
        <v>5928</v>
      </c>
      <c r="S274" s="4">
        <f t="shared" si="14"/>
        <v>21.578171390013495</v>
      </c>
      <c r="T274">
        <v>397958</v>
      </c>
      <c r="U274" s="1">
        <v>1.49E-2</v>
      </c>
    </row>
    <row r="275" spans="1:21" x14ac:dyDescent="0.3">
      <c r="A275" t="s">
        <v>1132</v>
      </c>
      <c r="B275" t="s">
        <v>1133</v>
      </c>
      <c r="C275" t="s">
        <v>20</v>
      </c>
      <c r="D275" t="s">
        <v>1134</v>
      </c>
      <c r="E275" t="s">
        <v>22</v>
      </c>
      <c r="F275" t="s">
        <v>33</v>
      </c>
      <c r="G275" s="6">
        <v>0</v>
      </c>
      <c r="H275" s="6">
        <v>74000</v>
      </c>
      <c r="J275" t="s">
        <v>1135</v>
      </c>
      <c r="K275">
        <v>0</v>
      </c>
      <c r="L275">
        <v>1891</v>
      </c>
      <c r="M275">
        <f t="shared" si="12"/>
        <v>135</v>
      </c>
      <c r="N275" t="str">
        <v>Headquarters
126 East Lincoln Avenue 
Rahway, New Jersey    07065
United States
Main Phone: 908 740 4000</v>
      </c>
      <c r="O275" t="str">
        <f t="shared" si="13"/>
        <v>0</v>
      </c>
      <c r="P275">
        <v>306131.59999999998</v>
      </c>
      <c r="Q275">
        <v>342156.6</v>
      </c>
      <c r="R275">
        <v>29105</v>
      </c>
      <c r="S275" s="4">
        <f t="shared" si="14"/>
        <v>11.755938842123346</v>
      </c>
      <c r="T275">
        <v>65011</v>
      </c>
      <c r="U275" s="1">
        <v>0.44769999999999999</v>
      </c>
    </row>
    <row r="276" spans="1:21" x14ac:dyDescent="0.3">
      <c r="A276" t="s">
        <v>1136</v>
      </c>
      <c r="B276" t="s">
        <v>1137</v>
      </c>
      <c r="C276" t="s">
        <v>41</v>
      </c>
      <c r="D276" t="s">
        <v>1138</v>
      </c>
      <c r="E276" t="s">
        <v>22</v>
      </c>
      <c r="F276" t="s">
        <v>95</v>
      </c>
      <c r="G276" s="6">
        <v>0</v>
      </c>
      <c r="H276" s="6">
        <v>78865</v>
      </c>
      <c r="J276" t="s">
        <v>1139</v>
      </c>
      <c r="K276">
        <v>0</v>
      </c>
      <c r="L276">
        <v>2004</v>
      </c>
      <c r="M276">
        <f t="shared" si="12"/>
        <v>22</v>
      </c>
      <c r="N276" t="str">
        <v>Headquarters
1 Meta Way 
Menlo Park, California    94025
United States
Main Phone: 650 543 4800</v>
      </c>
      <c r="O276" t="str">
        <f t="shared" si="13"/>
        <v>1</v>
      </c>
      <c r="P276">
        <v>1639607.3</v>
      </c>
      <c r="Q276">
        <v>1643096.3</v>
      </c>
      <c r="R276">
        <v>101892</v>
      </c>
      <c r="S276" s="4">
        <f t="shared" si="14"/>
        <v>16.125861696698465</v>
      </c>
      <c r="T276">
        <v>200966</v>
      </c>
      <c r="U276" s="1">
        <v>0.50700000000000001</v>
      </c>
    </row>
    <row r="277" spans="1:21" x14ac:dyDescent="0.3">
      <c r="A277" t="s">
        <v>1140</v>
      </c>
      <c r="B277" t="s">
        <v>1141</v>
      </c>
      <c r="C277" t="s">
        <v>20</v>
      </c>
      <c r="D277" t="s">
        <v>1142</v>
      </c>
      <c r="E277" t="s">
        <v>22</v>
      </c>
      <c r="F277" t="s">
        <v>53</v>
      </c>
      <c r="G277" s="6">
        <v>1</v>
      </c>
      <c r="H277" s="6">
        <v>46000</v>
      </c>
      <c r="J277" t="s">
        <v>1143</v>
      </c>
      <c r="K277">
        <v>0</v>
      </c>
      <c r="L277">
        <v>1999</v>
      </c>
      <c r="M277">
        <f t="shared" si="12"/>
        <v>27</v>
      </c>
      <c r="N277" t="str">
        <v>Headquarters
200 Park Avenue 
New York, New York    10166-0188
United States
Main Phone: 212 578 9500</v>
      </c>
      <c r="O277" t="str">
        <f t="shared" si="13"/>
        <v>0</v>
      </c>
      <c r="P277">
        <v>46993.5</v>
      </c>
      <c r="Q277">
        <v>90838.5</v>
      </c>
      <c r="R277">
        <v>5962</v>
      </c>
      <c r="S277" s="4">
        <f t="shared" si="14"/>
        <v>15.236246226098624</v>
      </c>
      <c r="T277">
        <v>77079</v>
      </c>
      <c r="U277" s="1">
        <v>7.7299999999999994E-2</v>
      </c>
    </row>
    <row r="278" spans="1:21" x14ac:dyDescent="0.3">
      <c r="A278" t="s">
        <v>1144</v>
      </c>
      <c r="B278" t="s">
        <v>1145</v>
      </c>
      <c r="C278" t="s">
        <v>20</v>
      </c>
      <c r="D278" t="s">
        <v>1146</v>
      </c>
      <c r="E278" t="s">
        <v>22</v>
      </c>
      <c r="F278" t="s">
        <v>67</v>
      </c>
      <c r="G278" s="6">
        <v>0</v>
      </c>
      <c r="H278" s="6">
        <v>69000</v>
      </c>
      <c r="J278" t="s">
        <v>1147</v>
      </c>
      <c r="K278">
        <v>0</v>
      </c>
      <c r="L278">
        <v>1986</v>
      </c>
      <c r="M278">
        <f t="shared" si="12"/>
        <v>40</v>
      </c>
      <c r="N278" t="str">
        <v>Headquarters
3600 Las Vegas Boulevard South 
Las Vegas, Nevada    89109
United States
Main Phone: 702 693 7120</v>
      </c>
      <c r="O278" t="str">
        <f t="shared" si="13"/>
        <v>0</v>
      </c>
      <c r="P278">
        <v>9429.7999999999993</v>
      </c>
      <c r="Q278">
        <v>39556.9</v>
      </c>
      <c r="R278">
        <v>2354.6</v>
      </c>
      <c r="S278" s="4">
        <f t="shared" si="14"/>
        <v>16.79983861377729</v>
      </c>
      <c r="T278">
        <v>17537.7</v>
      </c>
      <c r="U278" s="1">
        <v>0.1343</v>
      </c>
    </row>
    <row r="279" spans="1:21" x14ac:dyDescent="0.3">
      <c r="A279" t="s">
        <v>1148</v>
      </c>
      <c r="B279" t="s">
        <v>1149</v>
      </c>
      <c r="C279" t="s">
        <v>41</v>
      </c>
      <c r="D279" t="s">
        <v>1150</v>
      </c>
      <c r="E279" t="s">
        <v>22</v>
      </c>
      <c r="F279" t="s">
        <v>43</v>
      </c>
      <c r="G279" s="6">
        <v>0</v>
      </c>
      <c r="H279" s="6">
        <v>19400</v>
      </c>
      <c r="J279" t="s">
        <v>1151</v>
      </c>
      <c r="K279">
        <v>0</v>
      </c>
      <c r="L279">
        <v>1989</v>
      </c>
      <c r="M279">
        <f t="shared" si="12"/>
        <v>37</v>
      </c>
      <c r="N279" t="str">
        <v>Headquarters
2355 West Chandler Boulevard 
Chandler, Arizona    85224-6199
United States
Main Phone: 480 792 7200</v>
      </c>
      <c r="O279" t="str">
        <f t="shared" si="13"/>
        <v>0</v>
      </c>
      <c r="P279">
        <v>40390.400000000001</v>
      </c>
      <c r="Q279">
        <v>45544.3</v>
      </c>
      <c r="R279">
        <v>979.9</v>
      </c>
      <c r="S279" s="4">
        <f t="shared" si="14"/>
        <v>46.478518216144508</v>
      </c>
      <c r="T279">
        <v>4372.3999999999996</v>
      </c>
      <c r="U279" s="1">
        <v>0.22409999999999999</v>
      </c>
    </row>
    <row r="280" spans="1:21" x14ac:dyDescent="0.3">
      <c r="A280" t="s">
        <v>1152</v>
      </c>
      <c r="B280" t="s">
        <v>1153</v>
      </c>
      <c r="C280" t="s">
        <v>41</v>
      </c>
      <c r="D280" t="s">
        <v>1154</v>
      </c>
      <c r="E280" t="s">
        <v>22</v>
      </c>
      <c r="F280" t="s">
        <v>43</v>
      </c>
      <c r="G280" s="6">
        <v>0</v>
      </c>
      <c r="H280" s="6">
        <v>53000</v>
      </c>
      <c r="J280" t="s">
        <v>1155</v>
      </c>
      <c r="K280">
        <v>0</v>
      </c>
      <c r="L280">
        <v>1978</v>
      </c>
      <c r="M280">
        <f t="shared" si="12"/>
        <v>48</v>
      </c>
      <c r="N280" t="str">
        <v>Headquarters
8000 South Federal Way 
Boise, Idaho    83716-9632
United States
Main Phone: 208 368 4000</v>
      </c>
      <c r="O280" t="str">
        <f t="shared" si="13"/>
        <v>0</v>
      </c>
      <c r="P280">
        <v>464126.3</v>
      </c>
      <c r="Q280">
        <v>464604.3</v>
      </c>
      <c r="R280">
        <v>22234</v>
      </c>
      <c r="S280" s="4">
        <f t="shared" si="14"/>
        <v>20.896118557164701</v>
      </c>
      <c r="T280">
        <v>42312</v>
      </c>
      <c r="U280" s="1">
        <v>0.52549999999999997</v>
      </c>
    </row>
    <row r="281" spans="1:21" x14ac:dyDescent="0.3">
      <c r="A281" t="s">
        <v>1156</v>
      </c>
      <c r="B281" t="s">
        <v>1157</v>
      </c>
      <c r="C281" t="s">
        <v>41</v>
      </c>
      <c r="D281" t="s">
        <v>1158</v>
      </c>
      <c r="E281" t="s">
        <v>22</v>
      </c>
      <c r="F281" t="s">
        <v>43</v>
      </c>
      <c r="G281" s="6">
        <v>0</v>
      </c>
      <c r="H281" s="6">
        <v>228000</v>
      </c>
      <c r="J281" t="s">
        <v>1159</v>
      </c>
      <c r="K281">
        <v>0</v>
      </c>
      <c r="L281">
        <v>2014</v>
      </c>
      <c r="M281">
        <f t="shared" si="12"/>
        <v>12</v>
      </c>
      <c r="N281" t="str">
        <v>Headquarters
One Microsoft Way 
Redmond, Washington    98052-6399
United States
Main Phone: 425 882 8080</v>
      </c>
      <c r="O281" t="str">
        <f t="shared" si="13"/>
        <v>0</v>
      </c>
      <c r="P281">
        <v>2916341.6</v>
      </c>
      <c r="Q281">
        <v>2950157.6</v>
      </c>
      <c r="R281">
        <v>175259</v>
      </c>
      <c r="S281" s="4">
        <f t="shared" si="14"/>
        <v>16.833130395585961</v>
      </c>
      <c r="T281">
        <v>305453</v>
      </c>
      <c r="U281" s="1">
        <v>0.57379999999999998</v>
      </c>
    </row>
    <row r="282" spans="1:21" x14ac:dyDescent="0.3">
      <c r="A282" t="s">
        <v>1160</v>
      </c>
      <c r="B282" t="s">
        <v>1161</v>
      </c>
      <c r="C282" t="s">
        <v>20</v>
      </c>
      <c r="D282" t="s">
        <v>1162</v>
      </c>
      <c r="E282" t="s">
        <v>22</v>
      </c>
      <c r="F282" t="s">
        <v>80</v>
      </c>
      <c r="G282" s="6">
        <v>0</v>
      </c>
      <c r="H282" s="6">
        <v>2507</v>
      </c>
      <c r="J282" t="s">
        <v>1163</v>
      </c>
      <c r="K282">
        <v>0</v>
      </c>
      <c r="L282">
        <v>1977</v>
      </c>
      <c r="M282">
        <f t="shared" si="12"/>
        <v>49</v>
      </c>
      <c r="N282" t="str">
        <v>Headquarters
6815 Poplar Avenue
Suite 500 
Germantown, Tennessee    38138-3606
United States
Main Phone: 901 682 6600
Main Fax: 901 682 6667
Other Phone: 866 576 9689</v>
      </c>
      <c r="O282" t="str">
        <f t="shared" si="13"/>
        <v>0</v>
      </c>
      <c r="P282">
        <v>15648.4</v>
      </c>
      <c r="Q282">
        <v>21174.2</v>
      </c>
      <c r="R282">
        <v>1242.4000000000001</v>
      </c>
      <c r="S282" s="4">
        <f t="shared" si="14"/>
        <v>17.042981326464908</v>
      </c>
      <c r="T282">
        <v>2209.1</v>
      </c>
      <c r="U282" s="1">
        <v>0.56240000000000001</v>
      </c>
    </row>
    <row r="283" spans="1:21" x14ac:dyDescent="0.3">
      <c r="A283" t="s">
        <v>1164</v>
      </c>
      <c r="B283" t="s">
        <v>1165</v>
      </c>
      <c r="C283" t="s">
        <v>41</v>
      </c>
      <c r="D283" t="s">
        <v>1166</v>
      </c>
      <c r="E283" t="s">
        <v>22</v>
      </c>
      <c r="F283" t="s">
        <v>33</v>
      </c>
      <c r="G283" s="6">
        <v>0</v>
      </c>
      <c r="H283" s="6">
        <v>4700</v>
      </c>
      <c r="J283" t="s">
        <v>1167</v>
      </c>
      <c r="K283">
        <v>0</v>
      </c>
      <c r="L283">
        <v>2010</v>
      </c>
      <c r="M283">
        <f t="shared" si="12"/>
        <v>16</v>
      </c>
      <c r="N283" t="str">
        <v>Headquarters
325 Binney Street 
Cambridge, Massachusetts    02142
United States
Main Phone: 617 714 6500</v>
      </c>
      <c r="O283" t="str">
        <f t="shared" si="13"/>
        <v>0</v>
      </c>
      <c r="P283">
        <v>21156.9</v>
      </c>
      <c r="Q283">
        <v>14326.9</v>
      </c>
      <c r="R283">
        <v>-2859</v>
      </c>
      <c r="S283" s="4">
        <f t="shared" si="14"/>
        <v>-5.0111577474641482</v>
      </c>
      <c r="T283">
        <v>1944</v>
      </c>
      <c r="U283" s="1">
        <v>-1.4706999999999999</v>
      </c>
    </row>
    <row r="284" spans="1:21" x14ac:dyDescent="0.3">
      <c r="A284" t="s">
        <v>1168</v>
      </c>
      <c r="B284" t="s">
        <v>1169</v>
      </c>
      <c r="C284" t="s">
        <v>20</v>
      </c>
      <c r="D284" t="s">
        <v>1170</v>
      </c>
      <c r="E284" t="s">
        <v>22</v>
      </c>
      <c r="F284" t="s">
        <v>33</v>
      </c>
      <c r="G284" s="6">
        <v>0</v>
      </c>
      <c r="H284" s="6">
        <v>19000</v>
      </c>
      <c r="J284" t="s">
        <v>1171</v>
      </c>
      <c r="K284">
        <v>0</v>
      </c>
      <c r="L284">
        <v>1999</v>
      </c>
      <c r="M284">
        <f t="shared" si="12"/>
        <v>27</v>
      </c>
      <c r="N284" t="str">
        <v/>
      </c>
      <c r="O284" t="str">
        <f t="shared" si="13"/>
        <v>0</v>
      </c>
      <c r="P284">
        <v>7933.6</v>
      </c>
      <c r="Q284">
        <v>7731.6</v>
      </c>
      <c r="R284">
        <v>902</v>
      </c>
      <c r="S284" s="4">
        <f t="shared" si="14"/>
        <v>8.5716186252771625</v>
      </c>
      <c r="T284">
        <v>43563</v>
      </c>
      <c r="U284" s="1">
        <v>2.07E-2</v>
      </c>
    </row>
    <row r="285" spans="1:21" x14ac:dyDescent="0.3">
      <c r="A285" t="s">
        <v>1172</v>
      </c>
      <c r="B285" t="s">
        <v>1173</v>
      </c>
      <c r="C285" t="s">
        <v>20</v>
      </c>
      <c r="D285" t="s">
        <v>1174</v>
      </c>
      <c r="E285" t="s">
        <v>22</v>
      </c>
      <c r="F285" t="s">
        <v>100</v>
      </c>
      <c r="G285" s="6">
        <v>0</v>
      </c>
      <c r="H285" s="6">
        <v>16200</v>
      </c>
      <c r="J285" t="s">
        <v>1175</v>
      </c>
      <c r="K285">
        <v>0</v>
      </c>
      <c r="L285">
        <v>1774</v>
      </c>
      <c r="M285">
        <f t="shared" si="12"/>
        <v>252</v>
      </c>
      <c r="N285" t="str">
        <v>Headquarters
PO Box 4030
BC555 
Golden, Colorado    80401
United States
Main Phone: 303 279 6565</v>
      </c>
      <c r="O285" t="str">
        <f t="shared" si="13"/>
        <v>0</v>
      </c>
      <c r="P285">
        <v>9216.6</v>
      </c>
      <c r="Q285">
        <v>15061.2</v>
      </c>
      <c r="R285">
        <v>2363.3000000000002</v>
      </c>
      <c r="S285" s="4">
        <f t="shared" si="14"/>
        <v>6.3729530740913125</v>
      </c>
      <c r="T285">
        <v>11140.8</v>
      </c>
      <c r="U285" s="1">
        <v>0.21210000000000001</v>
      </c>
    </row>
    <row r="286" spans="1:21" x14ac:dyDescent="0.3">
      <c r="A286" t="s">
        <v>1176</v>
      </c>
      <c r="B286" t="s">
        <v>1177</v>
      </c>
      <c r="C286" t="s">
        <v>41</v>
      </c>
      <c r="D286" t="s">
        <v>1178</v>
      </c>
      <c r="E286" t="s">
        <v>22</v>
      </c>
      <c r="F286" t="s">
        <v>100</v>
      </c>
      <c r="G286" s="6">
        <v>0</v>
      </c>
      <c r="H286" s="6">
        <v>91000</v>
      </c>
      <c r="J286" t="s">
        <v>1179</v>
      </c>
      <c r="K286">
        <v>0</v>
      </c>
      <c r="L286">
        <v>2000</v>
      </c>
      <c r="M286">
        <f t="shared" si="12"/>
        <v>26</v>
      </c>
      <c r="N286" t="str">
        <v>Headquarters
905 West Fulton Market
Suite 200 
Chicago, Illinois    60607
United States
Main Phone: 847 943 4000</v>
      </c>
      <c r="O286" t="str">
        <f t="shared" si="13"/>
        <v>0</v>
      </c>
      <c r="P286">
        <v>78936.100000000006</v>
      </c>
      <c r="Q286">
        <v>98832.1</v>
      </c>
      <c r="R286">
        <v>4990</v>
      </c>
      <c r="S286" s="4">
        <f t="shared" si="14"/>
        <v>19.806032064128257</v>
      </c>
      <c r="T286">
        <v>38537</v>
      </c>
      <c r="U286" s="1">
        <v>0.1295</v>
      </c>
    </row>
    <row r="287" spans="1:21" x14ac:dyDescent="0.3">
      <c r="A287" t="s">
        <v>1180</v>
      </c>
      <c r="B287" t="s">
        <v>1181</v>
      </c>
      <c r="C287" t="s">
        <v>41</v>
      </c>
      <c r="D287" t="s">
        <v>1182</v>
      </c>
      <c r="E287" t="s">
        <v>22</v>
      </c>
      <c r="F287" t="s">
        <v>43</v>
      </c>
      <c r="G287" s="6">
        <v>0</v>
      </c>
      <c r="H287" s="6">
        <v>4017</v>
      </c>
      <c r="J287" t="s">
        <v>1183</v>
      </c>
      <c r="K287">
        <v>0</v>
      </c>
      <c r="L287">
        <v>1997</v>
      </c>
      <c r="M287">
        <f t="shared" si="12"/>
        <v>29</v>
      </c>
      <c r="N287" t="str">
        <v>Headquarters
1555 Palm Beach Lakes Boulevard 
West Palm Beach, Florida    33401
United States
Main Phone: 561 839 3999</v>
      </c>
      <c r="O287" t="str">
        <f t="shared" si="13"/>
        <v>0</v>
      </c>
      <c r="P287">
        <v>56129.1</v>
      </c>
      <c r="Q287">
        <v>54896.7</v>
      </c>
      <c r="R287">
        <v>781.1</v>
      </c>
      <c r="S287" s="4">
        <f t="shared" si="14"/>
        <v>70.281270003840731</v>
      </c>
      <c r="T287">
        <v>2790.5</v>
      </c>
      <c r="U287" s="1">
        <v>0.27989999999999998</v>
      </c>
    </row>
    <row r="288" spans="1:21" x14ac:dyDescent="0.3">
      <c r="A288" t="s">
        <v>1184</v>
      </c>
      <c r="B288" t="s">
        <v>1185</v>
      </c>
      <c r="C288" t="s">
        <v>41</v>
      </c>
      <c r="D288" t="s">
        <v>1186</v>
      </c>
      <c r="E288" t="s">
        <v>22</v>
      </c>
      <c r="F288" t="s">
        <v>100</v>
      </c>
      <c r="G288" s="6">
        <v>0</v>
      </c>
      <c r="H288" s="6">
        <v>6043</v>
      </c>
      <c r="J288" t="s">
        <v>1187</v>
      </c>
      <c r="K288">
        <v>0</v>
      </c>
      <c r="L288">
        <v>1985</v>
      </c>
      <c r="M288">
        <f t="shared" si="12"/>
        <v>41</v>
      </c>
      <c r="N288" t="str">
        <v>Headquarters
1 Monster Way 
Corona, California    92879
United States
Main Phone: 951 739 6200</v>
      </c>
      <c r="O288" t="str">
        <f t="shared" si="13"/>
        <v>1</v>
      </c>
      <c r="P288">
        <v>83446.5</v>
      </c>
      <c r="Q288">
        <v>80747.3</v>
      </c>
      <c r="R288">
        <v>2620.1</v>
      </c>
      <c r="S288" s="4">
        <f t="shared" si="14"/>
        <v>30.818403877714594</v>
      </c>
      <c r="T288">
        <v>8294.2999999999993</v>
      </c>
      <c r="U288" s="1">
        <v>0.31590000000000001</v>
      </c>
    </row>
    <row r="289" spans="1:21" x14ac:dyDescent="0.3">
      <c r="A289" t="s">
        <v>1188</v>
      </c>
      <c r="B289" t="s">
        <v>1189</v>
      </c>
      <c r="C289" t="s">
        <v>20</v>
      </c>
      <c r="D289" t="s">
        <v>1190</v>
      </c>
      <c r="E289" t="s">
        <v>22</v>
      </c>
      <c r="F289" t="s">
        <v>53</v>
      </c>
      <c r="G289" s="6">
        <v>1</v>
      </c>
      <c r="H289" s="6">
        <v>16076</v>
      </c>
      <c r="J289" t="s">
        <v>1191</v>
      </c>
      <c r="K289">
        <v>0</v>
      </c>
      <c r="L289">
        <v>1900</v>
      </c>
      <c r="M289">
        <f t="shared" si="12"/>
        <v>126</v>
      </c>
      <c r="N289" t="str">
        <v>Headquarters
7 World Trade Ctr at 250 Greenwich St 
New York, New York    10007
United States
Main Phone: 212 553 0300</v>
      </c>
      <c r="O289" t="str">
        <f t="shared" si="13"/>
        <v>0</v>
      </c>
      <c r="P289">
        <v>84676.7</v>
      </c>
      <c r="Q289">
        <v>89814.7</v>
      </c>
      <c r="R289">
        <v>3737</v>
      </c>
      <c r="S289" s="4">
        <f t="shared" si="14"/>
        <v>24.033904201230932</v>
      </c>
      <c r="T289">
        <v>7718</v>
      </c>
      <c r="U289" s="1">
        <v>0.48420000000000002</v>
      </c>
    </row>
    <row r="290" spans="1:21" x14ac:dyDescent="0.3">
      <c r="A290" t="s">
        <v>1192</v>
      </c>
      <c r="B290" t="s">
        <v>1193</v>
      </c>
      <c r="C290" t="s">
        <v>20</v>
      </c>
      <c r="D290" t="s">
        <v>1194</v>
      </c>
      <c r="E290" t="s">
        <v>22</v>
      </c>
      <c r="F290" t="s">
        <v>53</v>
      </c>
      <c r="G290" s="6">
        <v>1</v>
      </c>
      <c r="H290" s="6">
        <v>83000</v>
      </c>
      <c r="J290" t="s">
        <v>1195</v>
      </c>
      <c r="K290">
        <v>0</v>
      </c>
      <c r="L290">
        <v>1924</v>
      </c>
      <c r="M290">
        <f t="shared" si="12"/>
        <v>102</v>
      </c>
      <c r="N290" t="str">
        <v>Headquarters
1585 Broadway 
New York, New York    10036
United States
Main Phone: 212 761 4000</v>
      </c>
      <c r="O290" t="str">
        <f t="shared" si="13"/>
        <v>0</v>
      </c>
      <c r="P290">
        <v>264394.59999999998</v>
      </c>
      <c r="Q290" t="s">
        <v>91</v>
      </c>
      <c r="R290">
        <v>0</v>
      </c>
      <c r="S290" s="4" t="e">
        <f t="shared" si="14"/>
        <v>#VALUE!</v>
      </c>
      <c r="T290">
        <v>70296</v>
      </c>
      <c r="U290" s="1">
        <v>0</v>
      </c>
    </row>
    <row r="291" spans="1:21" x14ac:dyDescent="0.3">
      <c r="A291" t="s">
        <v>1196</v>
      </c>
      <c r="B291" t="s">
        <v>1197</v>
      </c>
      <c r="C291" t="s">
        <v>20</v>
      </c>
      <c r="D291" t="s">
        <v>1198</v>
      </c>
      <c r="E291" t="s">
        <v>22</v>
      </c>
      <c r="F291" t="s">
        <v>43</v>
      </c>
      <c r="G291" s="6">
        <v>0</v>
      </c>
      <c r="H291" s="6">
        <v>23000</v>
      </c>
      <c r="J291" t="s">
        <v>1199</v>
      </c>
      <c r="K291">
        <v>0</v>
      </c>
      <c r="L291">
        <v>1928</v>
      </c>
      <c r="M291">
        <f t="shared" si="12"/>
        <v>98</v>
      </c>
      <c r="N291" t="str">
        <v>Headquarters
500 West Monroe Street 
Chicago, Illinois    60661
United States
Main Phone: 847 576 5000</v>
      </c>
      <c r="O291" t="str">
        <f t="shared" si="13"/>
        <v>0</v>
      </c>
      <c r="P291">
        <v>79890.7</v>
      </c>
      <c r="Q291">
        <v>88508.7</v>
      </c>
      <c r="R291">
        <v>3523</v>
      </c>
      <c r="S291" s="4">
        <f t="shared" si="14"/>
        <v>25.123105307976157</v>
      </c>
      <c r="T291">
        <v>11682</v>
      </c>
      <c r="U291" s="1">
        <v>0.30159999999999998</v>
      </c>
    </row>
    <row r="292" spans="1:21" x14ac:dyDescent="0.3">
      <c r="A292" t="s">
        <v>1200</v>
      </c>
      <c r="B292" t="s">
        <v>1201</v>
      </c>
      <c r="C292" t="s">
        <v>20</v>
      </c>
      <c r="D292" t="s">
        <v>1202</v>
      </c>
      <c r="E292" t="s">
        <v>22</v>
      </c>
      <c r="F292" t="s">
        <v>53</v>
      </c>
      <c r="G292" s="6">
        <v>1</v>
      </c>
      <c r="H292" s="6">
        <v>6268</v>
      </c>
      <c r="J292" t="s">
        <v>1203</v>
      </c>
      <c r="K292">
        <v>0</v>
      </c>
      <c r="L292">
        <v>1998</v>
      </c>
      <c r="M292">
        <f t="shared" si="12"/>
        <v>28</v>
      </c>
      <c r="N292" t="str">
        <v>Headquarters
7 World Trade Center
49th Floor
250 Greenwich Street 
New York, New York    10007
United States
Main Phone: 212 804 3900</v>
      </c>
      <c r="O292" t="str">
        <f t="shared" si="13"/>
        <v>0</v>
      </c>
      <c r="P292">
        <v>42014.7</v>
      </c>
      <c r="Q292">
        <v>47841.4</v>
      </c>
      <c r="R292">
        <v>1824.1</v>
      </c>
      <c r="S292" s="4">
        <f t="shared" si="14"/>
        <v>26.227399813606713</v>
      </c>
      <c r="T292">
        <v>3134.5</v>
      </c>
      <c r="U292" s="1">
        <v>0.58189999999999997</v>
      </c>
    </row>
    <row r="293" spans="1:21" x14ac:dyDescent="0.3">
      <c r="A293" t="s">
        <v>1204</v>
      </c>
      <c r="B293" t="s">
        <v>1205</v>
      </c>
      <c r="C293" t="s">
        <v>41</v>
      </c>
      <c r="D293" t="s">
        <v>1206</v>
      </c>
      <c r="E293" t="s">
        <v>22</v>
      </c>
      <c r="F293" t="s">
        <v>53</v>
      </c>
      <c r="G293" s="6">
        <v>1</v>
      </c>
      <c r="H293" s="6">
        <v>9525</v>
      </c>
      <c r="I293" t="s">
        <v>1207</v>
      </c>
      <c r="J293" t="s">
        <v>1207</v>
      </c>
      <c r="K293">
        <v>1</v>
      </c>
      <c r="L293">
        <v>1971</v>
      </c>
      <c r="M293">
        <f t="shared" si="12"/>
        <v>55</v>
      </c>
      <c r="N293" t="str">
        <v>Headquarters
151 West 42nd Street
Floors 26, 27, 28 
New York, New York    10036
United States
Main Phone: 212 401 8700</v>
      </c>
      <c r="O293" t="str">
        <f t="shared" si="13"/>
        <v>0</v>
      </c>
      <c r="P293">
        <v>49784.3</v>
      </c>
      <c r="Q293">
        <v>58701.3</v>
      </c>
      <c r="R293">
        <v>3117</v>
      </c>
      <c r="S293" s="4">
        <f t="shared" si="14"/>
        <v>18.832627526467757</v>
      </c>
      <c r="T293">
        <v>8262</v>
      </c>
      <c r="U293" s="1">
        <v>0.37730000000000002</v>
      </c>
    </row>
    <row r="294" spans="1:21" x14ac:dyDescent="0.3">
      <c r="A294" t="s">
        <v>1208</v>
      </c>
      <c r="B294" t="s">
        <v>1209</v>
      </c>
      <c r="C294" t="s">
        <v>41</v>
      </c>
      <c r="D294" t="s">
        <v>1210</v>
      </c>
      <c r="E294" t="s">
        <v>22</v>
      </c>
      <c r="F294" t="s">
        <v>43</v>
      </c>
      <c r="G294" s="6">
        <v>0</v>
      </c>
      <c r="H294" s="6">
        <v>11700</v>
      </c>
      <c r="J294" t="s">
        <v>1211</v>
      </c>
      <c r="K294">
        <v>0</v>
      </c>
      <c r="L294">
        <v>1992</v>
      </c>
      <c r="M294">
        <f t="shared" si="12"/>
        <v>34</v>
      </c>
      <c r="N294" t="str">
        <v>Headquarters
3060 Olsen Drive 
San Jose, California    95128
United States
Main Phone: 408 822 6000</v>
      </c>
      <c r="O294" t="str">
        <f t="shared" si="13"/>
        <v>1</v>
      </c>
      <c r="P294">
        <v>19541.599999999999</v>
      </c>
      <c r="Q294">
        <v>19260.599999999999</v>
      </c>
      <c r="R294">
        <v>1751</v>
      </c>
      <c r="S294" s="4">
        <f t="shared" si="14"/>
        <v>10.99977155910908</v>
      </c>
      <c r="T294">
        <v>6709</v>
      </c>
      <c r="U294" s="1">
        <v>0.26100000000000001</v>
      </c>
    </row>
    <row r="295" spans="1:21" x14ac:dyDescent="0.3">
      <c r="A295" t="s">
        <v>1212</v>
      </c>
      <c r="B295" t="s">
        <v>1213</v>
      </c>
      <c r="C295" t="s">
        <v>41</v>
      </c>
      <c r="D295" t="s">
        <v>1214</v>
      </c>
      <c r="E295" t="s">
        <v>22</v>
      </c>
      <c r="F295" t="s">
        <v>95</v>
      </c>
      <c r="G295" s="6">
        <v>0</v>
      </c>
      <c r="H295" s="6">
        <v>16000</v>
      </c>
      <c r="J295" t="s">
        <v>1215</v>
      </c>
      <c r="K295">
        <v>0</v>
      </c>
      <c r="L295">
        <v>1997</v>
      </c>
      <c r="M295">
        <f t="shared" si="12"/>
        <v>29</v>
      </c>
      <c r="N295" t="str">
        <v>Headquarters
121 Albright Way 
Los Gatos, California    95032
United States
Main Phone: (408) 540-3700</v>
      </c>
      <c r="O295" t="str">
        <f t="shared" si="13"/>
        <v>1</v>
      </c>
      <c r="P295">
        <v>406340.9</v>
      </c>
      <c r="Q295">
        <v>414254.4</v>
      </c>
      <c r="R295">
        <v>13660</v>
      </c>
      <c r="S295" s="4">
        <f t="shared" si="14"/>
        <v>30.326090775988288</v>
      </c>
      <c r="T295">
        <v>45183</v>
      </c>
      <c r="U295" s="1">
        <v>0.30230000000000001</v>
      </c>
    </row>
    <row r="296" spans="1:21" x14ac:dyDescent="0.3">
      <c r="A296" t="s">
        <v>1216</v>
      </c>
      <c r="B296" t="s">
        <v>1217</v>
      </c>
      <c r="C296" t="s">
        <v>20</v>
      </c>
      <c r="D296" t="s">
        <v>1218</v>
      </c>
      <c r="E296" t="s">
        <v>22</v>
      </c>
      <c r="F296" t="s">
        <v>62</v>
      </c>
      <c r="G296" s="6">
        <v>0</v>
      </c>
      <c r="H296" s="6">
        <v>17500</v>
      </c>
      <c r="J296" t="s">
        <v>1219</v>
      </c>
      <c r="K296">
        <v>0</v>
      </c>
      <c r="L296">
        <v>1916</v>
      </c>
      <c r="M296">
        <f t="shared" si="12"/>
        <v>110</v>
      </c>
      <c r="N296" t="str">
        <v>Headquarters
6900 E Layton Avenue
Suite 700 
Denver, Colorado    80237
United States
Main Phone: 303 863 7414
Main Fax: 303 837 5837</v>
      </c>
      <c r="O296" t="str">
        <f t="shared" si="13"/>
        <v>0</v>
      </c>
      <c r="P296">
        <v>141423.6</v>
      </c>
      <c r="Q296">
        <v>138884.6</v>
      </c>
      <c r="R296">
        <v>13858</v>
      </c>
      <c r="S296" s="4">
        <f t="shared" si="14"/>
        <v>10.021980083706163</v>
      </c>
      <c r="T296">
        <v>22669</v>
      </c>
      <c r="U296" s="1">
        <v>0.61129999999999995</v>
      </c>
    </row>
    <row r="297" spans="1:21" x14ac:dyDescent="0.3">
      <c r="A297" t="s">
        <v>1220</v>
      </c>
      <c r="B297" t="s">
        <v>1221</v>
      </c>
      <c r="C297" t="s">
        <v>41</v>
      </c>
      <c r="D297" t="s">
        <v>1222</v>
      </c>
      <c r="E297" t="s">
        <v>22</v>
      </c>
      <c r="F297" t="s">
        <v>95</v>
      </c>
      <c r="G297" s="6">
        <v>0</v>
      </c>
      <c r="H297" s="6">
        <v>22300</v>
      </c>
      <c r="J297" t="s">
        <v>1223</v>
      </c>
      <c r="K297">
        <v>0</v>
      </c>
      <c r="L297">
        <v>1980</v>
      </c>
      <c r="M297">
        <f t="shared" si="12"/>
        <v>46</v>
      </c>
      <c r="N297" t="str">
        <v>Headquarters
1211 Avenue of the Americas 
New York, New York    10036
United States
Main Phone: 212 416 3400</v>
      </c>
      <c r="O297" t="str">
        <f t="shared" si="13"/>
        <v>0</v>
      </c>
      <c r="P297">
        <v>13893.5</v>
      </c>
      <c r="Q297">
        <v>15430.5</v>
      </c>
      <c r="R297">
        <v>1187</v>
      </c>
      <c r="S297" s="4">
        <f t="shared" si="14"/>
        <v>12.999578770008425</v>
      </c>
      <c r="T297">
        <v>8624</v>
      </c>
      <c r="U297" s="1">
        <v>0.1376</v>
      </c>
    </row>
    <row r="298" spans="1:21" x14ac:dyDescent="0.3">
      <c r="A298" t="s">
        <v>1224</v>
      </c>
      <c r="B298" t="s">
        <v>1225</v>
      </c>
      <c r="C298" t="s">
        <v>20</v>
      </c>
      <c r="D298" t="s">
        <v>1226</v>
      </c>
      <c r="E298" t="s">
        <v>22</v>
      </c>
      <c r="F298" t="s">
        <v>89</v>
      </c>
      <c r="G298" s="6">
        <v>0</v>
      </c>
      <c r="H298" s="6">
        <v>17400</v>
      </c>
      <c r="J298" t="s">
        <v>1227</v>
      </c>
      <c r="K298">
        <v>0</v>
      </c>
      <c r="L298">
        <v>1925</v>
      </c>
      <c r="M298">
        <f t="shared" si="12"/>
        <v>101</v>
      </c>
      <c r="N298" t="str">
        <v>Headquarters
700 Universe Boulevard 
Juno Beach, Florida    33408
United States
Main Phone: 561 694 4000</v>
      </c>
      <c r="O298" t="str">
        <f t="shared" si="13"/>
        <v>0</v>
      </c>
      <c r="P298">
        <v>195371.9</v>
      </c>
      <c r="Q298">
        <v>301650.90000000002</v>
      </c>
      <c r="R298">
        <v>14138</v>
      </c>
      <c r="S298" s="4">
        <f t="shared" si="14"/>
        <v>21.33617909180931</v>
      </c>
      <c r="T298">
        <v>27412</v>
      </c>
      <c r="U298" s="1">
        <v>0.51580000000000004</v>
      </c>
    </row>
    <row r="299" spans="1:21" x14ac:dyDescent="0.3">
      <c r="A299" t="s">
        <v>1228</v>
      </c>
      <c r="B299" t="s">
        <v>1229</v>
      </c>
      <c r="C299" t="s">
        <v>20</v>
      </c>
      <c r="D299" t="s">
        <v>1230</v>
      </c>
      <c r="E299" t="s">
        <v>22</v>
      </c>
      <c r="F299" t="s">
        <v>67</v>
      </c>
      <c r="G299" s="6">
        <v>0</v>
      </c>
      <c r="H299" s="6">
        <v>77800</v>
      </c>
      <c r="J299" t="s">
        <v>1231</v>
      </c>
      <c r="K299">
        <v>0</v>
      </c>
      <c r="L299">
        <v>1964</v>
      </c>
      <c r="M299">
        <f t="shared" si="12"/>
        <v>62</v>
      </c>
      <c r="N299" t="str">
        <v>Headquarters
One Bowerman Drive 
Beaverton, Oregon    97005-6453
United States
Main Phone: 503 671 6453</v>
      </c>
      <c r="O299" t="str">
        <f t="shared" si="13"/>
        <v>0</v>
      </c>
      <c r="P299">
        <v>92050.2</v>
      </c>
      <c r="Q299">
        <v>94987.199999999997</v>
      </c>
      <c r="R299">
        <v>3808</v>
      </c>
      <c r="S299" s="4">
        <f t="shared" si="14"/>
        <v>24.944117647058821</v>
      </c>
      <c r="T299">
        <v>46513</v>
      </c>
      <c r="U299" s="1">
        <v>8.1900000000000001E-2</v>
      </c>
    </row>
    <row r="300" spans="1:21" x14ac:dyDescent="0.3">
      <c r="A300" t="s">
        <v>1232</v>
      </c>
      <c r="B300" t="s">
        <v>1233</v>
      </c>
      <c r="C300" t="s">
        <v>20</v>
      </c>
      <c r="D300" t="s">
        <v>1234</v>
      </c>
      <c r="E300" t="s">
        <v>22</v>
      </c>
      <c r="F300" t="s">
        <v>89</v>
      </c>
      <c r="G300" s="6">
        <v>0</v>
      </c>
      <c r="H300" s="6">
        <v>7703</v>
      </c>
      <c r="J300" t="s">
        <v>1235</v>
      </c>
      <c r="K300">
        <v>0</v>
      </c>
      <c r="L300">
        <v>1847</v>
      </c>
      <c r="M300">
        <f t="shared" si="12"/>
        <v>179</v>
      </c>
      <c r="N300" t="str">
        <v>Headquarters
801 East 86th Avenue 
Merrillville, Indiana    46410
United States
Main Phone: 614 460 6000</v>
      </c>
      <c r="O300" t="str">
        <f t="shared" si="13"/>
        <v>0</v>
      </c>
      <c r="P300">
        <v>22634.6</v>
      </c>
      <c r="Q300">
        <v>40974.699999999997</v>
      </c>
      <c r="R300">
        <v>2887.5</v>
      </c>
      <c r="S300" s="4">
        <f t="shared" si="14"/>
        <v>14.190372294372294</v>
      </c>
      <c r="T300">
        <v>6642.2</v>
      </c>
      <c r="U300" s="1">
        <v>0.43469999999999998</v>
      </c>
    </row>
    <row r="301" spans="1:21" x14ac:dyDescent="0.3">
      <c r="A301" t="s">
        <v>1236</v>
      </c>
      <c r="B301" t="s">
        <v>1237</v>
      </c>
      <c r="C301" t="s">
        <v>41</v>
      </c>
      <c r="D301" t="s">
        <v>1238</v>
      </c>
      <c r="E301" t="s">
        <v>22</v>
      </c>
      <c r="F301" t="s">
        <v>28</v>
      </c>
      <c r="G301" s="6">
        <v>0</v>
      </c>
      <c r="H301" s="6">
        <v>8200</v>
      </c>
      <c r="J301" t="s">
        <v>1239</v>
      </c>
      <c r="K301">
        <v>0</v>
      </c>
      <c r="L301">
        <v>1909</v>
      </c>
      <c r="M301">
        <f t="shared" si="12"/>
        <v>117</v>
      </c>
      <c r="N301" t="str">
        <v>Headquarters
28601 Clemens Road 
Westlake, Ohio    44145-4551
United States
Main Phone: 440-892-1580</v>
      </c>
      <c r="O301" t="str">
        <f t="shared" si="13"/>
        <v>0</v>
      </c>
      <c r="P301">
        <v>16369.1</v>
      </c>
      <c r="Q301">
        <v>18332</v>
      </c>
      <c r="R301">
        <v>908.9</v>
      </c>
      <c r="S301" s="4">
        <f t="shared" si="14"/>
        <v>20.169435581472111</v>
      </c>
      <c r="T301">
        <v>2845.7</v>
      </c>
      <c r="U301" s="1">
        <v>0.31940000000000002</v>
      </c>
    </row>
    <row r="302" spans="1:21" x14ac:dyDescent="0.3">
      <c r="A302" t="s">
        <v>1240</v>
      </c>
      <c r="B302" t="s">
        <v>1241</v>
      </c>
      <c r="C302" t="s">
        <v>20</v>
      </c>
      <c r="D302" t="s">
        <v>1242</v>
      </c>
      <c r="E302" t="s">
        <v>22</v>
      </c>
      <c r="F302" t="s">
        <v>28</v>
      </c>
      <c r="G302" s="6">
        <v>0</v>
      </c>
      <c r="H302" s="6">
        <v>19300</v>
      </c>
      <c r="J302" t="s">
        <v>1243</v>
      </c>
      <c r="K302">
        <v>0</v>
      </c>
      <c r="L302">
        <v>1980</v>
      </c>
      <c r="M302">
        <f t="shared" si="12"/>
        <v>46</v>
      </c>
      <c r="N302" t="str">
        <v>Headquarters
650 West Peachtree Street NW 
Atlanta, Georgia    30308-1925
United States
Main Phone: 855 667 3655</v>
      </c>
      <c r="O302" t="str">
        <f t="shared" si="13"/>
        <v>0</v>
      </c>
      <c r="P302">
        <v>70681.8</v>
      </c>
      <c r="Q302">
        <v>86990.8</v>
      </c>
      <c r="R302">
        <v>5597</v>
      </c>
      <c r="S302" s="4">
        <f t="shared" si="14"/>
        <v>15.542397713060568</v>
      </c>
      <c r="T302">
        <v>12180</v>
      </c>
      <c r="U302" s="1">
        <v>0.45950000000000002</v>
      </c>
    </row>
    <row r="303" spans="1:21" x14ac:dyDescent="0.3">
      <c r="A303" t="s">
        <v>1244</v>
      </c>
      <c r="B303" t="s">
        <v>1245</v>
      </c>
      <c r="C303" t="s">
        <v>41</v>
      </c>
      <c r="D303" t="s">
        <v>1246</v>
      </c>
      <c r="E303" t="s">
        <v>22</v>
      </c>
      <c r="F303" t="s">
        <v>53</v>
      </c>
      <c r="G303" s="6">
        <v>1</v>
      </c>
      <c r="H303" s="6">
        <v>23800</v>
      </c>
      <c r="J303" t="s">
        <v>1247</v>
      </c>
      <c r="K303">
        <v>0</v>
      </c>
      <c r="L303">
        <v>1889</v>
      </c>
      <c r="M303">
        <f t="shared" si="12"/>
        <v>137</v>
      </c>
      <c r="N303" t="str">
        <v>Headquarters
50 South La Salle Street 
Chicago, Illinois    60603
United States
Main Phone: 312 630 6000</v>
      </c>
      <c r="O303" t="str">
        <f t="shared" si="13"/>
        <v>0</v>
      </c>
      <c r="P303">
        <v>26590.1</v>
      </c>
      <c r="Q303" t="s">
        <v>91</v>
      </c>
      <c r="R303">
        <v>0</v>
      </c>
      <c r="S303" s="4" t="e">
        <f t="shared" si="14"/>
        <v>#VALUE!</v>
      </c>
      <c r="T303">
        <v>8093.9</v>
      </c>
      <c r="U303" s="1">
        <v>0</v>
      </c>
    </row>
    <row r="304" spans="1:21" x14ac:dyDescent="0.3">
      <c r="A304" t="s">
        <v>1248</v>
      </c>
      <c r="B304" t="s">
        <v>1249</v>
      </c>
      <c r="C304" t="s">
        <v>20</v>
      </c>
      <c r="D304" t="s">
        <v>1250</v>
      </c>
      <c r="E304" t="s">
        <v>22</v>
      </c>
      <c r="F304" t="s">
        <v>28</v>
      </c>
      <c r="G304" s="6">
        <v>0</v>
      </c>
      <c r="H304" s="6">
        <v>95000</v>
      </c>
      <c r="I304" t="s">
        <v>1251</v>
      </c>
      <c r="J304" t="s">
        <v>1251</v>
      </c>
      <c r="K304">
        <v>1</v>
      </c>
      <c r="L304">
        <v>1939</v>
      </c>
      <c r="M304">
        <f t="shared" si="12"/>
        <v>87</v>
      </c>
      <c r="N304" t="str">
        <v>Headquarters
2980 Fairview Park Drive 
Falls Church, Virginia    22042
United States
Main Phone: 703 280 2900</v>
      </c>
      <c r="O304" t="str">
        <f t="shared" si="13"/>
        <v>0</v>
      </c>
      <c r="P304">
        <v>102805.2</v>
      </c>
      <c r="Q304">
        <v>115803.2</v>
      </c>
      <c r="R304">
        <v>6820</v>
      </c>
      <c r="S304" s="4">
        <f t="shared" si="14"/>
        <v>16.979941348973608</v>
      </c>
      <c r="T304">
        <v>41954</v>
      </c>
      <c r="U304" s="1">
        <v>0.16259999999999999</v>
      </c>
    </row>
    <row r="305" spans="1:21" x14ac:dyDescent="0.3">
      <c r="A305" t="s">
        <v>1252</v>
      </c>
      <c r="B305" t="s">
        <v>1253</v>
      </c>
      <c r="C305" t="s">
        <v>20</v>
      </c>
      <c r="D305" t="s">
        <v>1254</v>
      </c>
      <c r="E305" t="s">
        <v>22</v>
      </c>
      <c r="F305" t="s">
        <v>67</v>
      </c>
      <c r="G305" s="6">
        <v>0</v>
      </c>
      <c r="H305" s="6">
        <v>41700</v>
      </c>
      <c r="J305" t="s">
        <v>1255</v>
      </c>
      <c r="K305">
        <v>0</v>
      </c>
      <c r="L305">
        <v>1966</v>
      </c>
      <c r="M305">
        <f t="shared" si="12"/>
        <v>60</v>
      </c>
      <c r="N305" t="str">
        <v>Headquarters
7665 Corporate Center Drive 
Miami, Florida    33126
United States
Main Phone: 305 436 4000
Main Fax: 305 436 4140</v>
      </c>
      <c r="O305" t="str">
        <f t="shared" si="13"/>
        <v>0</v>
      </c>
      <c r="P305">
        <v>11285.8</v>
      </c>
      <c r="Q305">
        <v>26464.400000000001</v>
      </c>
      <c r="R305">
        <v>2542.9</v>
      </c>
      <c r="S305" s="4">
        <f t="shared" si="14"/>
        <v>10.407172912816076</v>
      </c>
      <c r="T305">
        <v>9692.6</v>
      </c>
      <c r="U305" s="1">
        <v>0.26240000000000002</v>
      </c>
    </row>
    <row r="306" spans="1:21" x14ac:dyDescent="0.3">
      <c r="A306" t="s">
        <v>1256</v>
      </c>
      <c r="B306" t="s">
        <v>1257</v>
      </c>
      <c r="C306" t="s">
        <v>20</v>
      </c>
      <c r="D306" t="s">
        <v>1258</v>
      </c>
      <c r="E306" t="s">
        <v>22</v>
      </c>
      <c r="F306" t="s">
        <v>89</v>
      </c>
      <c r="G306" s="6">
        <v>0</v>
      </c>
      <c r="H306" s="6">
        <v>16702</v>
      </c>
      <c r="J306" t="s">
        <v>1259</v>
      </c>
      <c r="K306">
        <v>0</v>
      </c>
      <c r="L306">
        <v>1989</v>
      </c>
      <c r="M306">
        <f t="shared" si="12"/>
        <v>37</v>
      </c>
      <c r="N306" t="str">
        <v>Headquarters
1301 McKinney Street 
Houston, Texas    77010
United States
Main Phone: 713 537 3000</v>
      </c>
      <c r="O306" t="str">
        <f t="shared" si="13"/>
        <v>0</v>
      </c>
      <c r="P306">
        <v>38418.699999999997</v>
      </c>
      <c r="Q306">
        <v>50986.7</v>
      </c>
      <c r="R306">
        <v>2966</v>
      </c>
      <c r="S306" s="4">
        <f t="shared" si="14"/>
        <v>17.190391099123399</v>
      </c>
      <c r="T306">
        <v>30713</v>
      </c>
      <c r="U306" s="1">
        <v>9.6600000000000005E-2</v>
      </c>
    </row>
    <row r="307" spans="1:21" x14ac:dyDescent="0.3">
      <c r="A307" t="s">
        <v>1260</v>
      </c>
      <c r="B307" t="s">
        <v>1261</v>
      </c>
      <c r="C307" t="s">
        <v>20</v>
      </c>
      <c r="D307" t="s">
        <v>1262</v>
      </c>
      <c r="E307" t="s">
        <v>22</v>
      </c>
      <c r="F307" t="s">
        <v>62</v>
      </c>
      <c r="G307" s="6">
        <v>0</v>
      </c>
      <c r="H307" s="6">
        <v>33000</v>
      </c>
      <c r="J307" t="s">
        <v>1263</v>
      </c>
      <c r="K307">
        <v>0</v>
      </c>
      <c r="L307">
        <v>1905</v>
      </c>
      <c r="M307">
        <f t="shared" si="12"/>
        <v>121</v>
      </c>
      <c r="N307" t="str">
        <v>Headquarters
1915 Rexford Road 
Charlotte, North Carolina    28211
United States
Main Phone: 704 366 7000
Main Fax: 704 362 4208</v>
      </c>
      <c r="O307" t="str">
        <f t="shared" si="13"/>
        <v>0</v>
      </c>
      <c r="P307">
        <v>40288.800000000003</v>
      </c>
      <c r="Q307">
        <v>46026.8</v>
      </c>
      <c r="R307">
        <v>4139</v>
      </c>
      <c r="S307" s="4">
        <f t="shared" si="14"/>
        <v>11.120270596762504</v>
      </c>
      <c r="T307">
        <v>32494</v>
      </c>
      <c r="U307" s="1">
        <v>0.12740000000000001</v>
      </c>
    </row>
    <row r="308" spans="1:21" x14ac:dyDescent="0.3">
      <c r="A308" t="s">
        <v>1264</v>
      </c>
      <c r="B308" t="s">
        <v>1265</v>
      </c>
      <c r="C308" t="s">
        <v>41</v>
      </c>
      <c r="D308" t="s">
        <v>1266</v>
      </c>
      <c r="E308" t="s">
        <v>22</v>
      </c>
      <c r="F308" t="s">
        <v>43</v>
      </c>
      <c r="G308" s="6">
        <v>0</v>
      </c>
      <c r="H308" s="6">
        <v>42000</v>
      </c>
      <c r="J308" t="s">
        <v>1267</v>
      </c>
      <c r="K308">
        <v>0</v>
      </c>
      <c r="L308">
        <v>1993</v>
      </c>
      <c r="M308">
        <f t="shared" si="12"/>
        <v>33</v>
      </c>
      <c r="N308" t="str">
        <v>Headquarters
2788 San Tomas Expressway 
Santa Clara, California    95051
United States
Main Phone: 408 486 2000</v>
      </c>
      <c r="O308" t="str">
        <f t="shared" si="13"/>
        <v>1</v>
      </c>
      <c r="P308">
        <v>4305008.2</v>
      </c>
      <c r="Q308">
        <v>4253864.2</v>
      </c>
      <c r="R308">
        <v>133230</v>
      </c>
      <c r="S308" s="4">
        <f t="shared" si="14"/>
        <v>31.928726262853711</v>
      </c>
      <c r="T308">
        <v>215938</v>
      </c>
      <c r="U308" s="1">
        <v>0.61699999999999999</v>
      </c>
    </row>
    <row r="309" spans="1:21" x14ac:dyDescent="0.3">
      <c r="A309" t="s">
        <v>1268</v>
      </c>
      <c r="B309" t="s">
        <v>1269</v>
      </c>
      <c r="C309" t="s">
        <v>20</v>
      </c>
      <c r="D309" t="s">
        <v>1270</v>
      </c>
      <c r="E309" t="s">
        <v>22</v>
      </c>
      <c r="F309" t="s">
        <v>67</v>
      </c>
      <c r="G309" s="6">
        <v>0</v>
      </c>
      <c r="H309" s="6">
        <v>6300</v>
      </c>
      <c r="J309" t="s">
        <v>1271</v>
      </c>
      <c r="K309">
        <v>0</v>
      </c>
      <c r="L309">
        <v>1948</v>
      </c>
      <c r="M309">
        <f t="shared" si="12"/>
        <v>78</v>
      </c>
      <c r="N309" t="str">
        <v>Headquarters
Plaza America Tower I
Suite 500
11700 Plaza America Drive 
Reston, Virginia    20190
United States
Main Phone: 703 956 4000</v>
      </c>
      <c r="O309" t="str">
        <f t="shared" si="13"/>
        <v>0</v>
      </c>
      <c r="P309">
        <v>21002.9</v>
      </c>
      <c r="Q309">
        <v>20214.400000000001</v>
      </c>
      <c r="R309">
        <v>1814</v>
      </c>
      <c r="S309" s="4">
        <f t="shared" si="14"/>
        <v>11.143550165380375</v>
      </c>
      <c r="T309">
        <v>10438.1</v>
      </c>
      <c r="U309" s="1">
        <v>0.17380000000000001</v>
      </c>
    </row>
    <row r="310" spans="1:21" x14ac:dyDescent="0.3">
      <c r="A310" t="s">
        <v>1272</v>
      </c>
      <c r="B310" t="s">
        <v>1273</v>
      </c>
      <c r="C310" t="s">
        <v>41</v>
      </c>
      <c r="D310" t="s">
        <v>1274</v>
      </c>
      <c r="E310" t="s">
        <v>22</v>
      </c>
      <c r="F310" t="s">
        <v>67</v>
      </c>
      <c r="G310" s="6">
        <v>0</v>
      </c>
      <c r="H310" s="6">
        <v>93072</v>
      </c>
      <c r="J310" t="s">
        <v>1275</v>
      </c>
      <c r="K310">
        <v>0</v>
      </c>
      <c r="L310">
        <v>1957</v>
      </c>
      <c r="M310">
        <f t="shared" si="12"/>
        <v>69</v>
      </c>
      <c r="N310" t="str">
        <v>Headquarters
233 South Patterson Avenue 
Springfield, Missouri    65802-2298
United States
Main Phone: 417 862 6708</v>
      </c>
      <c r="O310" t="str">
        <f t="shared" si="13"/>
        <v>0</v>
      </c>
      <c r="P310">
        <v>78717.2</v>
      </c>
      <c r="Q310">
        <v>86947</v>
      </c>
      <c r="R310">
        <v>3971.8</v>
      </c>
      <c r="S310" s="4">
        <f t="shared" si="14"/>
        <v>21.891082129009515</v>
      </c>
      <c r="T310">
        <v>17782</v>
      </c>
      <c r="U310" s="1">
        <v>0.22339999999999999</v>
      </c>
    </row>
    <row r="311" spans="1:21" x14ac:dyDescent="0.3">
      <c r="A311" t="s">
        <v>1276</v>
      </c>
      <c r="B311" t="s">
        <v>1277</v>
      </c>
      <c r="C311" t="s">
        <v>20</v>
      </c>
      <c r="D311" t="s">
        <v>1278</v>
      </c>
      <c r="E311" t="s">
        <v>22</v>
      </c>
      <c r="F311" t="s">
        <v>153</v>
      </c>
      <c r="G311" s="6">
        <v>0</v>
      </c>
      <c r="H311" s="6">
        <v>10412</v>
      </c>
      <c r="I311" t="s">
        <v>1279</v>
      </c>
      <c r="J311" t="s">
        <v>1279</v>
      </c>
      <c r="K311">
        <v>1</v>
      </c>
      <c r="L311">
        <v>1920</v>
      </c>
      <c r="M311">
        <f t="shared" si="12"/>
        <v>106</v>
      </c>
      <c r="N311" t="str">
        <v>Headquarters
5 Greenway Plaza
Suite 110 
Houston, Texas    77046-0521
United States
Main Phone: 713 215 7000</v>
      </c>
      <c r="O311" t="str">
        <f t="shared" si="13"/>
        <v>0</v>
      </c>
      <c r="P311">
        <v>52351</v>
      </c>
      <c r="Q311">
        <v>82585</v>
      </c>
      <c r="R311">
        <v>11255</v>
      </c>
      <c r="S311" s="4">
        <f t="shared" si="14"/>
        <v>7.3376277210128835</v>
      </c>
      <c r="T311">
        <v>21593</v>
      </c>
      <c r="U311" s="1">
        <v>0.5212</v>
      </c>
    </row>
    <row r="312" spans="1:21" x14ac:dyDescent="0.3">
      <c r="A312" t="s">
        <v>1280</v>
      </c>
      <c r="B312" t="s">
        <v>1281</v>
      </c>
      <c r="C312" t="s">
        <v>41</v>
      </c>
      <c r="D312" t="s">
        <v>1282</v>
      </c>
      <c r="E312" t="s">
        <v>22</v>
      </c>
      <c r="F312" t="s">
        <v>28</v>
      </c>
      <c r="G312" s="6">
        <v>0</v>
      </c>
      <c r="H312" s="6">
        <v>20591</v>
      </c>
      <c r="I312" t="s">
        <v>1283</v>
      </c>
      <c r="J312" t="s">
        <v>1283</v>
      </c>
      <c r="K312">
        <v>1</v>
      </c>
      <c r="L312">
        <v>1934</v>
      </c>
      <c r="M312">
        <f t="shared" si="12"/>
        <v>92</v>
      </c>
      <c r="N312" t="str">
        <v>Headquarters
500 Old Dominion Way 
Thomasville, North Carolina    27360
United States
Main Phone: 336 889 5000</v>
      </c>
      <c r="O312" t="str">
        <f t="shared" si="13"/>
        <v>0</v>
      </c>
      <c r="P312">
        <v>42320.800000000003</v>
      </c>
      <c r="Q312">
        <v>42342.1</v>
      </c>
      <c r="R312">
        <v>1725.7</v>
      </c>
      <c r="S312" s="4">
        <f t="shared" si="14"/>
        <v>24.536188213478585</v>
      </c>
      <c r="T312">
        <v>5496.4</v>
      </c>
      <c r="U312" s="1">
        <v>0.314</v>
      </c>
    </row>
    <row r="313" spans="1:21" x14ac:dyDescent="0.3">
      <c r="A313" t="s">
        <v>1284</v>
      </c>
      <c r="B313" t="s">
        <v>1285</v>
      </c>
      <c r="C313" t="s">
        <v>20</v>
      </c>
      <c r="D313" t="s">
        <v>1286</v>
      </c>
      <c r="E313" t="s">
        <v>22</v>
      </c>
      <c r="F313" t="s">
        <v>95</v>
      </c>
      <c r="G313" s="6">
        <v>0</v>
      </c>
      <c r="H313" s="6">
        <v>120000</v>
      </c>
      <c r="J313" t="s">
        <v>1287</v>
      </c>
      <c r="K313">
        <v>0</v>
      </c>
      <c r="L313">
        <v>1944</v>
      </c>
      <c r="M313">
        <f t="shared" si="12"/>
        <v>82</v>
      </c>
      <c r="N313" t="str">
        <v>Headquarters
280 Park Avenue 
New York, New York    10017
United States
Main Phone: (212) 415-3600
Main Fax: (212) 415-3530</v>
      </c>
      <c r="O313" t="str">
        <f t="shared" si="13"/>
        <v>0</v>
      </c>
      <c r="P313">
        <v>26468.6</v>
      </c>
      <c r="Q313">
        <v>31866.3</v>
      </c>
      <c r="R313">
        <v>2793.3</v>
      </c>
      <c r="S313" s="4">
        <f t="shared" si="14"/>
        <v>11.4081194286328</v>
      </c>
      <c r="T313">
        <v>17271.900000000001</v>
      </c>
      <c r="U313" s="1">
        <v>0.16170000000000001</v>
      </c>
    </row>
    <row r="314" spans="1:21" x14ac:dyDescent="0.3">
      <c r="A314" t="s">
        <v>1288</v>
      </c>
      <c r="B314" t="s">
        <v>1289</v>
      </c>
      <c r="C314" t="s">
        <v>41</v>
      </c>
      <c r="D314" t="s">
        <v>1290</v>
      </c>
      <c r="E314" t="s">
        <v>22</v>
      </c>
      <c r="F314" t="s">
        <v>43</v>
      </c>
      <c r="G314" s="6">
        <v>0</v>
      </c>
      <c r="H314" s="6">
        <v>22635</v>
      </c>
      <c r="J314" t="s">
        <v>1291</v>
      </c>
      <c r="K314">
        <v>0</v>
      </c>
      <c r="L314">
        <v>1992</v>
      </c>
      <c r="M314">
        <f t="shared" si="12"/>
        <v>34</v>
      </c>
      <c r="N314" t="str">
        <v>Headquarters
5701 North Pima Road 
Scottsdale, Arizona    85250
United States
Main Phone: 602 244 6600</v>
      </c>
      <c r="O314" t="str">
        <f t="shared" si="13"/>
        <v>0</v>
      </c>
      <c r="P314">
        <v>26194.5</v>
      </c>
      <c r="Q314">
        <v>26918.7</v>
      </c>
      <c r="R314">
        <v>1755.5</v>
      </c>
      <c r="S314" s="4">
        <f t="shared" si="14"/>
        <v>15.333921959555683</v>
      </c>
      <c r="T314">
        <v>5995.4</v>
      </c>
      <c r="U314" s="1">
        <v>0.2928</v>
      </c>
    </row>
    <row r="315" spans="1:21" x14ac:dyDescent="0.3">
      <c r="A315" t="s">
        <v>1292</v>
      </c>
      <c r="B315" t="s">
        <v>1293</v>
      </c>
      <c r="C315" t="s">
        <v>20</v>
      </c>
      <c r="D315" t="s">
        <v>1294</v>
      </c>
      <c r="E315" t="s">
        <v>22</v>
      </c>
      <c r="F315" t="s">
        <v>153</v>
      </c>
      <c r="G315" s="6">
        <v>0</v>
      </c>
      <c r="H315" s="6">
        <v>6326</v>
      </c>
      <c r="J315" t="s">
        <v>1295</v>
      </c>
      <c r="K315">
        <v>0</v>
      </c>
      <c r="L315">
        <v>1906</v>
      </c>
      <c r="M315">
        <f t="shared" si="12"/>
        <v>120</v>
      </c>
      <c r="N315" t="str">
        <v>Headquarters
100 West Fifth Street 
Tulsa, Oklahoma    74103
United States
Main Phone: 918 588 7000</v>
      </c>
      <c r="O315" t="str">
        <f t="shared" si="13"/>
        <v>0</v>
      </c>
      <c r="P315">
        <v>52127.199999999997</v>
      </c>
      <c r="Q315">
        <v>85186.2</v>
      </c>
      <c r="R315">
        <v>7336</v>
      </c>
      <c r="S315" s="4">
        <f t="shared" si="14"/>
        <v>11.612077426390403</v>
      </c>
      <c r="T315">
        <v>33629</v>
      </c>
      <c r="U315" s="1">
        <v>0.21809999999999999</v>
      </c>
    </row>
    <row r="316" spans="1:21" x14ac:dyDescent="0.3">
      <c r="A316" t="s">
        <v>1296</v>
      </c>
      <c r="B316" t="s">
        <v>1297</v>
      </c>
      <c r="C316" t="s">
        <v>20</v>
      </c>
      <c r="D316" t="s">
        <v>1298</v>
      </c>
      <c r="E316" t="s">
        <v>22</v>
      </c>
      <c r="F316" t="s">
        <v>43</v>
      </c>
      <c r="G316" s="6">
        <v>0</v>
      </c>
      <c r="H316" s="6">
        <v>162000</v>
      </c>
      <c r="I316" t="s">
        <v>1299</v>
      </c>
      <c r="J316" t="s">
        <v>1299</v>
      </c>
      <c r="K316">
        <v>1</v>
      </c>
      <c r="L316">
        <v>1977</v>
      </c>
      <c r="M316">
        <f t="shared" si="12"/>
        <v>49</v>
      </c>
      <c r="N316" t="str">
        <v>Headquarters
2300 Oracle Way 
Austin, Texas    78741
United States
Main Phone: (737) 867-1000</v>
      </c>
      <c r="O316" t="str">
        <f t="shared" si="13"/>
        <v>0</v>
      </c>
      <c r="P316">
        <v>417892.8</v>
      </c>
      <c r="Q316">
        <v>530362.80000000005</v>
      </c>
      <c r="R316">
        <v>26266</v>
      </c>
      <c r="S316" s="4">
        <f t="shared" si="14"/>
        <v>20.191989644407219</v>
      </c>
      <c r="T316">
        <v>61016</v>
      </c>
      <c r="U316" s="1">
        <v>0.43049999999999999</v>
      </c>
    </row>
    <row r="317" spans="1:21" x14ac:dyDescent="0.3">
      <c r="A317" t="s">
        <v>1300</v>
      </c>
      <c r="B317" t="s">
        <v>1301</v>
      </c>
      <c r="C317" t="s">
        <v>20</v>
      </c>
      <c r="D317" t="s">
        <v>1302</v>
      </c>
      <c r="E317" t="s">
        <v>22</v>
      </c>
      <c r="F317" t="s">
        <v>28</v>
      </c>
      <c r="G317" s="6">
        <v>0</v>
      </c>
      <c r="H317" s="6">
        <v>72000</v>
      </c>
      <c r="I317" t="s">
        <v>1303</v>
      </c>
      <c r="J317" t="s">
        <v>1303</v>
      </c>
      <c r="K317">
        <v>1</v>
      </c>
      <c r="L317">
        <v>1853</v>
      </c>
      <c r="M317">
        <f t="shared" si="12"/>
        <v>173</v>
      </c>
      <c r="N317" t="str">
        <v>Headquarters
One Carrier Place 
Farmington, Connecticut    06032
United States
Main Phone: 860 674 3000</v>
      </c>
      <c r="O317" t="str">
        <f t="shared" si="13"/>
        <v>0</v>
      </c>
      <c r="P317">
        <v>35980</v>
      </c>
      <c r="Q317">
        <v>43516</v>
      </c>
      <c r="R317">
        <v>2551</v>
      </c>
      <c r="S317" s="4">
        <f t="shared" si="14"/>
        <v>17.058408467267739</v>
      </c>
      <c r="T317">
        <v>14431</v>
      </c>
      <c r="U317" s="1">
        <v>0.17680000000000001</v>
      </c>
    </row>
    <row r="318" spans="1:21" x14ac:dyDescent="0.3">
      <c r="A318" t="s">
        <v>1304</v>
      </c>
      <c r="B318" t="s">
        <v>1305</v>
      </c>
      <c r="C318" t="s">
        <v>41</v>
      </c>
      <c r="D318" t="s">
        <v>1306</v>
      </c>
      <c r="E318" t="s">
        <v>22</v>
      </c>
      <c r="F318" t="s">
        <v>28</v>
      </c>
      <c r="G318" s="6">
        <v>0</v>
      </c>
      <c r="H318" s="6">
        <v>25900</v>
      </c>
      <c r="J318" t="s">
        <v>1307</v>
      </c>
      <c r="K318">
        <v>0</v>
      </c>
      <c r="L318">
        <v>1905</v>
      </c>
      <c r="M318">
        <f t="shared" si="12"/>
        <v>121</v>
      </c>
      <c r="N318" t="str">
        <v>Headquarters
777 - 106th Avenue N.E. 
Bellevue, Washington    98004
United States
Main Phone: 425 468 7400
Main Fax: 425 468 8216</v>
      </c>
      <c r="O318" t="str">
        <f t="shared" si="13"/>
        <v>0</v>
      </c>
      <c r="P318">
        <v>66310</v>
      </c>
      <c r="Q318">
        <v>72840.7</v>
      </c>
      <c r="R318">
        <v>3423</v>
      </c>
      <c r="S318" s="4">
        <f t="shared" si="14"/>
        <v>21.279783815366638</v>
      </c>
      <c r="T318">
        <v>28444.799999999999</v>
      </c>
      <c r="U318" s="1">
        <v>0.1203</v>
      </c>
    </row>
    <row r="319" spans="1:21" x14ac:dyDescent="0.3">
      <c r="A319" t="s">
        <v>1308</v>
      </c>
      <c r="B319" t="s">
        <v>1309</v>
      </c>
      <c r="C319" t="s">
        <v>20</v>
      </c>
      <c r="D319" t="s">
        <v>1310</v>
      </c>
      <c r="E319" t="s">
        <v>22</v>
      </c>
      <c r="F319" t="s">
        <v>62</v>
      </c>
      <c r="G319" s="6">
        <v>0</v>
      </c>
      <c r="H319" s="6">
        <v>16800</v>
      </c>
      <c r="J319" t="s">
        <v>1311</v>
      </c>
      <c r="K319">
        <v>0</v>
      </c>
      <c r="L319">
        <v>1867</v>
      </c>
      <c r="M319">
        <f t="shared" si="12"/>
        <v>159</v>
      </c>
      <c r="N319" t="str">
        <v>Headquarters
1 North Field Court 
Lake Forest, Illinois    60045
United States
Main Phone: 847 482 3000
Main Fax: 847 482 4545</v>
      </c>
      <c r="O319" t="str">
        <f t="shared" si="13"/>
        <v>0</v>
      </c>
      <c r="P319">
        <v>20570.5</v>
      </c>
      <c r="Q319">
        <v>24267.599999999999</v>
      </c>
      <c r="R319">
        <v>1900</v>
      </c>
      <c r="S319" s="4">
        <f t="shared" si="14"/>
        <v>12.772421052631579</v>
      </c>
      <c r="T319">
        <v>8989.2999999999993</v>
      </c>
      <c r="U319" s="1">
        <v>0.2114</v>
      </c>
    </row>
    <row r="320" spans="1:21" x14ac:dyDescent="0.3">
      <c r="A320" t="s">
        <v>1312</v>
      </c>
      <c r="B320" t="s">
        <v>1313</v>
      </c>
      <c r="C320" t="s">
        <v>41</v>
      </c>
      <c r="D320" t="s">
        <v>1314</v>
      </c>
      <c r="E320" t="s">
        <v>22</v>
      </c>
      <c r="F320" t="s">
        <v>43</v>
      </c>
      <c r="G320" s="6">
        <v>0</v>
      </c>
      <c r="H320" s="6">
        <v>4429</v>
      </c>
      <c r="J320" t="s">
        <v>1315</v>
      </c>
      <c r="K320">
        <v>0</v>
      </c>
      <c r="L320">
        <v>2003</v>
      </c>
      <c r="M320">
        <f t="shared" si="12"/>
        <v>23</v>
      </c>
      <c r="N320" t="str">
        <v>Headquarters
19505 Biscayne Blvd
Suite 2350 
Aventura, Florida    33180
United States
Main Phone: 720 358 3679</v>
      </c>
      <c r="O320" t="str">
        <f t="shared" si="13"/>
        <v>0</v>
      </c>
      <c r="P320">
        <v>328114</v>
      </c>
      <c r="Q320">
        <v>321267</v>
      </c>
      <c r="R320">
        <v>1440.2</v>
      </c>
      <c r="S320" s="4">
        <f t="shared" si="14"/>
        <v>223.07110123593944</v>
      </c>
      <c r="T320">
        <v>4475.3999999999996</v>
      </c>
      <c r="U320" s="1">
        <v>0.32179999999999997</v>
      </c>
    </row>
    <row r="321" spans="1:21" x14ac:dyDescent="0.3">
      <c r="A321" t="s">
        <v>1316</v>
      </c>
      <c r="B321" t="s">
        <v>1317</v>
      </c>
      <c r="C321" t="s">
        <v>41</v>
      </c>
      <c r="D321" t="s">
        <v>1318</v>
      </c>
      <c r="E321" t="s">
        <v>22</v>
      </c>
      <c r="F321" t="s">
        <v>43</v>
      </c>
      <c r="G321" s="6">
        <v>0</v>
      </c>
      <c r="H321" s="6">
        <v>17027</v>
      </c>
      <c r="J321" t="s">
        <v>1319</v>
      </c>
      <c r="K321">
        <v>0</v>
      </c>
      <c r="L321">
        <v>2005</v>
      </c>
      <c r="M321">
        <f t="shared" si="12"/>
        <v>21</v>
      </c>
      <c r="N321" t="str">
        <v>Headquarters
3000 Tannery Way 
Santa Clara, California    95054
United States
Main Phone: 408 753 4000</v>
      </c>
      <c r="O321" t="str">
        <f t="shared" si="13"/>
        <v>1</v>
      </c>
      <c r="P321">
        <v>121518.7</v>
      </c>
      <c r="Q321">
        <v>117441.7</v>
      </c>
      <c r="R321">
        <v>1449.5</v>
      </c>
      <c r="S321" s="4">
        <f t="shared" si="14"/>
        <v>81.022214556743705</v>
      </c>
      <c r="T321">
        <v>9893.5</v>
      </c>
      <c r="U321" s="1">
        <v>0.14649999999999999</v>
      </c>
    </row>
    <row r="322" spans="1:21" x14ac:dyDescent="0.3">
      <c r="A322" t="s">
        <v>1320</v>
      </c>
      <c r="B322" t="s">
        <v>1321</v>
      </c>
      <c r="C322" t="s">
        <v>41</v>
      </c>
      <c r="D322" t="s">
        <v>1322</v>
      </c>
      <c r="E322" t="s">
        <v>22</v>
      </c>
      <c r="F322" t="s">
        <v>95</v>
      </c>
      <c r="G322" s="6">
        <v>0</v>
      </c>
      <c r="H322" s="6">
        <v>17600</v>
      </c>
      <c r="J322" t="s">
        <v>1323</v>
      </c>
      <c r="K322">
        <v>0</v>
      </c>
      <c r="L322">
        <v>1914</v>
      </c>
      <c r="M322">
        <f t="shared" si="12"/>
        <v>112</v>
      </c>
      <c r="N322" t="str">
        <v>Headquarters
1515 Broadway 
New York, New York    10036
United States
Main Phone: 212 258 6000</v>
      </c>
      <c r="O322" t="str">
        <f t="shared" si="13"/>
        <v>0</v>
      </c>
      <c r="P322">
        <v>15232.4</v>
      </c>
      <c r="Q322">
        <v>28244.400000000001</v>
      </c>
      <c r="R322">
        <v>2681</v>
      </c>
      <c r="S322" s="4">
        <f t="shared" si="14"/>
        <v>10.53502424468482</v>
      </c>
      <c r="T322">
        <v>28891</v>
      </c>
      <c r="U322" s="1">
        <v>9.2799999999999994E-2</v>
      </c>
    </row>
    <row r="323" spans="1:21" x14ac:dyDescent="0.3">
      <c r="A323" t="s">
        <v>1324</v>
      </c>
      <c r="B323" t="s">
        <v>1325</v>
      </c>
      <c r="C323" t="s">
        <v>20</v>
      </c>
      <c r="D323" t="s">
        <v>1326</v>
      </c>
      <c r="E323" t="s">
        <v>22</v>
      </c>
      <c r="F323" t="s">
        <v>28</v>
      </c>
      <c r="G323" s="6">
        <v>0</v>
      </c>
      <c r="H323" s="6">
        <v>57950</v>
      </c>
      <c r="I323" t="s">
        <v>1327</v>
      </c>
      <c r="J323" t="s">
        <v>1327</v>
      </c>
      <c r="K323">
        <v>1</v>
      </c>
      <c r="L323">
        <v>1917</v>
      </c>
      <c r="M323">
        <f t="shared" ref="M323:M386" si="15">2026-L323</f>
        <v>109</v>
      </c>
      <c r="N323" t="str">
        <v>Headquarters
6035 Parkland Boulevard 
Cleveland, Ohio    44124-4141
United States
Main Phone: 216 896 3000</v>
      </c>
      <c r="O323" t="str">
        <f t="shared" ref="O323:O386" si="16">IF(ISNUMBER(SEARCH("california",N323)),"1","0")</f>
        <v>0</v>
      </c>
      <c r="P323">
        <v>127375.2</v>
      </c>
      <c r="Q323">
        <v>136827.20000000001</v>
      </c>
      <c r="R323">
        <v>5358</v>
      </c>
      <c r="S323" s="4">
        <f t="shared" ref="S323:S386" si="17">Q323/R323</f>
        <v>25.536991414706982</v>
      </c>
      <c r="T323">
        <v>20461</v>
      </c>
      <c r="U323" s="1">
        <v>0.26190000000000002</v>
      </c>
    </row>
    <row r="324" spans="1:21" x14ac:dyDescent="0.3">
      <c r="A324" t="s">
        <v>1328</v>
      </c>
      <c r="B324" t="s">
        <v>1329</v>
      </c>
      <c r="C324" t="s">
        <v>41</v>
      </c>
      <c r="D324" t="s">
        <v>1330</v>
      </c>
      <c r="E324" t="s">
        <v>22</v>
      </c>
      <c r="F324" t="s">
        <v>28</v>
      </c>
      <c r="G324" s="6">
        <v>0</v>
      </c>
      <c r="H324" s="6">
        <v>19000</v>
      </c>
      <c r="J324" t="s">
        <v>1331</v>
      </c>
      <c r="K324">
        <v>0</v>
      </c>
      <c r="L324">
        <v>1971</v>
      </c>
      <c r="M324">
        <f t="shared" si="15"/>
        <v>55</v>
      </c>
      <c r="N324" t="str">
        <v>Headquarters
911 Panorama Trail South 
Rochester, New York    14625-2396
United States
Main Phone: 585 385 6666</v>
      </c>
      <c r="O324" t="str">
        <f t="shared" si="16"/>
        <v>0</v>
      </c>
      <c r="P324">
        <v>33617.300000000003</v>
      </c>
      <c r="Q324">
        <v>37131</v>
      </c>
      <c r="R324">
        <v>2867.4</v>
      </c>
      <c r="S324" s="4">
        <f t="shared" si="17"/>
        <v>12.9493617911697</v>
      </c>
      <c r="T324">
        <v>6033.9</v>
      </c>
      <c r="U324" s="1">
        <v>0.47520000000000001</v>
      </c>
    </row>
    <row r="325" spans="1:21" x14ac:dyDescent="0.3">
      <c r="A325" t="s">
        <v>1332</v>
      </c>
      <c r="B325" t="s">
        <v>1333</v>
      </c>
      <c r="C325" t="s">
        <v>20</v>
      </c>
      <c r="D325" t="s">
        <v>1334</v>
      </c>
      <c r="E325" t="s">
        <v>22</v>
      </c>
      <c r="F325" t="s">
        <v>28</v>
      </c>
      <c r="G325" s="6">
        <v>0</v>
      </c>
      <c r="H325" s="6">
        <v>5770</v>
      </c>
      <c r="J325" t="s">
        <v>1335</v>
      </c>
      <c r="K325">
        <v>0</v>
      </c>
      <c r="L325">
        <v>1998</v>
      </c>
      <c r="M325">
        <f t="shared" si="15"/>
        <v>28</v>
      </c>
      <c r="N325" t="str">
        <v/>
      </c>
      <c r="O325" t="str">
        <f t="shared" si="16"/>
        <v>0</v>
      </c>
      <c r="P325">
        <v>6689.3</v>
      </c>
      <c r="Q325">
        <v>6409.6</v>
      </c>
      <c r="R325">
        <v>634.5</v>
      </c>
      <c r="S325" s="4">
        <f t="shared" si="17"/>
        <v>10.101812450748621</v>
      </c>
      <c r="T325">
        <v>2051.6999999999998</v>
      </c>
      <c r="U325" s="1">
        <v>0.30930000000000002</v>
      </c>
    </row>
    <row r="326" spans="1:21" x14ac:dyDescent="0.3">
      <c r="A326" t="s">
        <v>1336</v>
      </c>
      <c r="B326" t="s">
        <v>1337</v>
      </c>
      <c r="C326" t="s">
        <v>41</v>
      </c>
      <c r="D326" t="s">
        <v>1338</v>
      </c>
      <c r="E326" t="s">
        <v>22</v>
      </c>
      <c r="F326" t="s">
        <v>53</v>
      </c>
      <c r="G326" s="6">
        <v>1</v>
      </c>
      <c r="H326" s="6">
        <v>23800</v>
      </c>
      <c r="J326" t="s">
        <v>1339</v>
      </c>
      <c r="K326">
        <v>0</v>
      </c>
      <c r="L326">
        <v>1998</v>
      </c>
      <c r="M326">
        <f t="shared" si="15"/>
        <v>28</v>
      </c>
      <c r="N326" t="str">
        <v>Headquarters
2211 North First Street 
San Jose, California    95131
United States
Main Phone: 408 967 7000</v>
      </c>
      <c r="O326" t="str">
        <f t="shared" si="16"/>
        <v>1</v>
      </c>
      <c r="P326">
        <v>42543.9</v>
      </c>
      <c r="Q326">
        <v>44417.9</v>
      </c>
      <c r="R326">
        <v>6649</v>
      </c>
      <c r="S326" s="4">
        <f t="shared" si="17"/>
        <v>6.6803880282749288</v>
      </c>
      <c r="T326">
        <v>33172</v>
      </c>
      <c r="U326" s="1">
        <v>0.20039999999999999</v>
      </c>
    </row>
    <row r="327" spans="1:21" x14ac:dyDescent="0.3">
      <c r="A327" t="s">
        <v>1340</v>
      </c>
      <c r="B327" t="s">
        <v>1341</v>
      </c>
      <c r="C327" t="s">
        <v>41</v>
      </c>
      <c r="D327" t="s">
        <v>1342</v>
      </c>
      <c r="E327" t="s">
        <v>22</v>
      </c>
      <c r="F327" t="s">
        <v>100</v>
      </c>
      <c r="G327" s="6">
        <v>0</v>
      </c>
      <c r="H327" s="6">
        <v>306000</v>
      </c>
      <c r="J327" t="s">
        <v>1343</v>
      </c>
      <c r="K327">
        <v>0</v>
      </c>
      <c r="L327">
        <v>1898</v>
      </c>
      <c r="M327">
        <f t="shared" si="15"/>
        <v>128</v>
      </c>
      <c r="N327" t="str">
        <v>Headquarters
700 Anderson Hill Road 
Purchase, New York    10577
United States
Main Phone: (914) 253-2000</v>
      </c>
      <c r="O327" t="str">
        <f t="shared" si="16"/>
        <v>0</v>
      </c>
      <c r="P327">
        <v>231975</v>
      </c>
      <c r="Q327">
        <v>275614</v>
      </c>
      <c r="R327">
        <v>18174</v>
      </c>
      <c r="S327" s="4">
        <f t="shared" si="17"/>
        <v>15.165291075162321</v>
      </c>
      <c r="T327">
        <v>93925</v>
      </c>
      <c r="U327" s="1">
        <v>0.19350000000000001</v>
      </c>
    </row>
    <row r="328" spans="1:21" x14ac:dyDescent="0.3">
      <c r="A328" t="s">
        <v>1344</v>
      </c>
      <c r="B328" t="s">
        <v>1345</v>
      </c>
      <c r="C328" t="s">
        <v>20</v>
      </c>
      <c r="D328" t="s">
        <v>1346</v>
      </c>
      <c r="E328" t="s">
        <v>22</v>
      </c>
      <c r="F328" t="s">
        <v>33</v>
      </c>
      <c r="G328" s="6">
        <v>0</v>
      </c>
      <c r="H328" s="6">
        <v>75000</v>
      </c>
      <c r="J328" t="s">
        <v>1347</v>
      </c>
      <c r="K328">
        <v>0</v>
      </c>
      <c r="L328">
        <v>1849</v>
      </c>
      <c r="M328">
        <f t="shared" si="15"/>
        <v>177</v>
      </c>
      <c r="N328" t="str">
        <v>Headquarters
66 Hudson Boulevard East 
New York, New York    10001-2192
United States
Main Phone: 212 733 2323</v>
      </c>
      <c r="O328" t="str">
        <f t="shared" si="16"/>
        <v>0</v>
      </c>
      <c r="P328">
        <v>157225.29999999999</v>
      </c>
      <c r="Q328">
        <v>211575.3</v>
      </c>
      <c r="R328">
        <v>25718</v>
      </c>
      <c r="S328" s="4">
        <f t="shared" si="17"/>
        <v>8.2267400264406252</v>
      </c>
      <c r="T328">
        <v>62579</v>
      </c>
      <c r="U328" s="1">
        <v>0.41099999999999998</v>
      </c>
    </row>
    <row r="329" spans="1:21" x14ac:dyDescent="0.3">
      <c r="A329" t="s">
        <v>1348</v>
      </c>
      <c r="B329" t="s">
        <v>1349</v>
      </c>
      <c r="C329" t="s">
        <v>20</v>
      </c>
      <c r="D329" t="s">
        <v>1350</v>
      </c>
      <c r="E329" t="s">
        <v>22</v>
      </c>
      <c r="F329" t="s">
        <v>89</v>
      </c>
      <c r="G329" s="6">
        <v>0</v>
      </c>
      <c r="H329" s="6">
        <v>29010</v>
      </c>
      <c r="I329" t="s">
        <v>1351</v>
      </c>
      <c r="J329" t="s">
        <v>1351</v>
      </c>
      <c r="K329">
        <v>1</v>
      </c>
      <c r="L329">
        <v>1905</v>
      </c>
      <c r="M329">
        <f t="shared" si="15"/>
        <v>121</v>
      </c>
      <c r="N329" t="str">
        <v>Headquarters
300 Lakeside Drive 
Oakland, California    94612
United States
Main Phone: 415 973 1000</v>
      </c>
      <c r="O329" t="str">
        <f t="shared" si="16"/>
        <v>1</v>
      </c>
      <c r="P329">
        <v>41761.4</v>
      </c>
      <c r="Q329">
        <v>104214.39999999999</v>
      </c>
      <c r="R329">
        <v>9979</v>
      </c>
      <c r="S329" s="4">
        <f t="shared" si="17"/>
        <v>10.443371079266459</v>
      </c>
      <c r="T329">
        <v>24935</v>
      </c>
      <c r="U329" s="1">
        <v>0.4002</v>
      </c>
    </row>
    <row r="330" spans="1:21" x14ac:dyDescent="0.3">
      <c r="A330" t="s">
        <v>1352</v>
      </c>
      <c r="B330" t="s">
        <v>1353</v>
      </c>
      <c r="C330" t="s">
        <v>20</v>
      </c>
      <c r="D330" t="s">
        <v>1354</v>
      </c>
      <c r="E330" t="s">
        <v>22</v>
      </c>
      <c r="F330" t="s">
        <v>100</v>
      </c>
      <c r="G330" s="6">
        <v>0</v>
      </c>
      <c r="H330" s="6">
        <v>84900</v>
      </c>
      <c r="J330" t="s">
        <v>1355</v>
      </c>
      <c r="K330">
        <v>0</v>
      </c>
      <c r="L330">
        <v>1987</v>
      </c>
      <c r="M330">
        <f t="shared" si="15"/>
        <v>39</v>
      </c>
      <c r="N330" t="str">
        <v>Headquarters
677 Washington Boulevard
Suite 1100 
Stamford, Connecticut    06901
United States
Main Phone: 203 905 2410</v>
      </c>
      <c r="O330" t="str">
        <f t="shared" si="16"/>
        <v>0</v>
      </c>
      <c r="P330">
        <v>290834.40000000002</v>
      </c>
      <c r="Q330">
        <v>337523.4</v>
      </c>
      <c r="R330">
        <v>18722</v>
      </c>
      <c r="S330" s="4">
        <f t="shared" si="17"/>
        <v>18.028170067300504</v>
      </c>
      <c r="T330">
        <v>40648</v>
      </c>
      <c r="U330" s="1">
        <v>0.46060000000000001</v>
      </c>
    </row>
    <row r="331" spans="1:21" x14ac:dyDescent="0.3">
      <c r="A331" t="s">
        <v>1356</v>
      </c>
      <c r="B331" t="s">
        <v>1357</v>
      </c>
      <c r="C331" t="s">
        <v>20</v>
      </c>
      <c r="D331" t="s">
        <v>1358</v>
      </c>
      <c r="E331" t="s">
        <v>22</v>
      </c>
      <c r="F331" t="s">
        <v>153</v>
      </c>
      <c r="G331" s="6">
        <v>0</v>
      </c>
      <c r="H331" s="6">
        <v>12600</v>
      </c>
      <c r="J331" t="s">
        <v>1359</v>
      </c>
      <c r="K331">
        <v>0</v>
      </c>
      <c r="L331">
        <v>1875</v>
      </c>
      <c r="M331">
        <f t="shared" si="15"/>
        <v>151</v>
      </c>
      <c r="N331" t="str">
        <v>Headquarters
2331 CityWest Boulevard 
Houston, Texas    77042
United States
Main Phone: 832 765 3010</v>
      </c>
      <c r="O331" t="str">
        <f t="shared" si="16"/>
        <v>0</v>
      </c>
      <c r="P331">
        <v>61846.8</v>
      </c>
      <c r="Q331">
        <v>83464.800000000003</v>
      </c>
      <c r="R331">
        <v>6672</v>
      </c>
      <c r="S331" s="4">
        <f t="shared" si="17"/>
        <v>12.509712230215827</v>
      </c>
      <c r="T331">
        <v>132376</v>
      </c>
      <c r="U331" s="1">
        <v>5.04E-2</v>
      </c>
    </row>
    <row r="332" spans="1:21" x14ac:dyDescent="0.3">
      <c r="A332" t="s">
        <v>1360</v>
      </c>
      <c r="B332" t="s">
        <v>1361</v>
      </c>
      <c r="C332" t="s">
        <v>20</v>
      </c>
      <c r="D332" t="s">
        <v>1362</v>
      </c>
      <c r="E332" t="s">
        <v>22</v>
      </c>
      <c r="F332" t="s">
        <v>89</v>
      </c>
      <c r="G332" s="6">
        <v>0</v>
      </c>
      <c r="H332" s="6">
        <v>6403</v>
      </c>
      <c r="J332" t="s">
        <v>1363</v>
      </c>
      <c r="K332">
        <v>0</v>
      </c>
      <c r="L332">
        <v>1985</v>
      </c>
      <c r="M332">
        <f t="shared" si="15"/>
        <v>41</v>
      </c>
      <c r="N332" t="str">
        <v>Headquarters
400 North Fifth Street
PO Box 53999 
Phoenix, Arizona    85072-3999
United States
Main Phone: 602 250 1000</v>
      </c>
      <c r="O332" t="str">
        <f t="shared" si="16"/>
        <v>0</v>
      </c>
      <c r="P332">
        <v>12126.8</v>
      </c>
      <c r="Q332">
        <v>26385.599999999999</v>
      </c>
      <c r="R332">
        <v>2029.1</v>
      </c>
      <c r="S332" s="4">
        <f t="shared" si="17"/>
        <v>13.003597654132374</v>
      </c>
      <c r="T332">
        <v>5307.2</v>
      </c>
      <c r="U332" s="1">
        <v>0.38229999999999997</v>
      </c>
    </row>
    <row r="333" spans="1:21" x14ac:dyDescent="0.3">
      <c r="A333" t="s">
        <v>1364</v>
      </c>
      <c r="B333" t="s">
        <v>1365</v>
      </c>
      <c r="C333" t="s">
        <v>41</v>
      </c>
      <c r="D333" t="s">
        <v>1366</v>
      </c>
      <c r="E333" t="s">
        <v>22</v>
      </c>
      <c r="F333" t="s">
        <v>67</v>
      </c>
      <c r="G333" s="6">
        <v>0</v>
      </c>
      <c r="H333" s="6">
        <v>6000</v>
      </c>
      <c r="J333" t="s">
        <v>1367</v>
      </c>
      <c r="K333">
        <v>0</v>
      </c>
      <c r="L333">
        <v>1993</v>
      </c>
      <c r="M333">
        <f t="shared" si="15"/>
        <v>33</v>
      </c>
      <c r="N333" t="str">
        <v>Headquarters
109 Northpark Boulevard 
Covington, Louisiana    70433-5001
United States
Main Phone: 985 892 5521</v>
      </c>
      <c r="O333" t="str">
        <f t="shared" si="16"/>
        <v>0</v>
      </c>
      <c r="P333">
        <v>8357.5</v>
      </c>
      <c r="Q333">
        <v>9787.5</v>
      </c>
      <c r="R333">
        <v>631.20000000000005</v>
      </c>
      <c r="S333" s="4">
        <f t="shared" si="17"/>
        <v>15.506178707224333</v>
      </c>
      <c r="T333">
        <v>5289.4</v>
      </c>
      <c r="U333" s="1">
        <v>0.1193</v>
      </c>
    </row>
    <row r="334" spans="1:21" x14ac:dyDescent="0.3">
      <c r="A334" t="s">
        <v>1368</v>
      </c>
      <c r="B334" t="s">
        <v>1369</v>
      </c>
      <c r="C334" t="s">
        <v>20</v>
      </c>
      <c r="D334" t="s">
        <v>1370</v>
      </c>
      <c r="E334" t="s">
        <v>22</v>
      </c>
      <c r="F334" t="s">
        <v>62</v>
      </c>
      <c r="G334" s="6">
        <v>0</v>
      </c>
      <c r="H334" s="6">
        <v>43500</v>
      </c>
      <c r="J334" t="s">
        <v>1371</v>
      </c>
      <c r="K334">
        <v>0</v>
      </c>
      <c r="L334">
        <v>1883</v>
      </c>
      <c r="M334">
        <f t="shared" si="15"/>
        <v>143</v>
      </c>
      <c r="N334" t="str">
        <v>Headquarters
One PPG Place 
Pittsburgh, Pennsylvania    15272
United States
Main Phone: 412 434 3131</v>
      </c>
      <c r="O334" t="str">
        <f t="shared" si="16"/>
        <v>0</v>
      </c>
      <c r="P334">
        <v>27550.2</v>
      </c>
      <c r="Q334">
        <v>33389.199999999997</v>
      </c>
      <c r="R334">
        <v>2652</v>
      </c>
      <c r="S334" s="4">
        <f t="shared" si="17"/>
        <v>12.590196078431372</v>
      </c>
      <c r="T334">
        <v>15875</v>
      </c>
      <c r="U334" s="1">
        <v>0.1671</v>
      </c>
    </row>
    <row r="335" spans="1:21" x14ac:dyDescent="0.3">
      <c r="A335" t="s">
        <v>1372</v>
      </c>
      <c r="B335" t="s">
        <v>1373</v>
      </c>
      <c r="C335" t="s">
        <v>20</v>
      </c>
      <c r="D335" t="s">
        <v>1374</v>
      </c>
      <c r="E335" t="s">
        <v>22</v>
      </c>
      <c r="F335" t="s">
        <v>89</v>
      </c>
      <c r="G335" s="6">
        <v>0</v>
      </c>
      <c r="H335" s="6">
        <v>6546</v>
      </c>
      <c r="J335" t="s">
        <v>1375</v>
      </c>
      <c r="K335">
        <v>0</v>
      </c>
      <c r="L335">
        <v>1920</v>
      </c>
      <c r="M335">
        <f t="shared" si="15"/>
        <v>106</v>
      </c>
      <c r="N335" t="str">
        <v>Headquarters
645 Hamilton Street 
Allentown, Pennsylvania    18101
United States
Main Phone: 610 774 5151</v>
      </c>
      <c r="O335" t="str">
        <f t="shared" si="16"/>
        <v>0</v>
      </c>
      <c r="P335">
        <v>29285.9</v>
      </c>
      <c r="Q335">
        <v>47730.9</v>
      </c>
      <c r="R335">
        <v>3545</v>
      </c>
      <c r="S335" s="4">
        <f t="shared" si="17"/>
        <v>13.464287729196052</v>
      </c>
      <c r="T335">
        <v>9042</v>
      </c>
      <c r="U335" s="1">
        <v>0.3921</v>
      </c>
    </row>
    <row r="336" spans="1:21" x14ac:dyDescent="0.3">
      <c r="A336" t="s">
        <v>1376</v>
      </c>
      <c r="B336" t="s">
        <v>1377</v>
      </c>
      <c r="C336" t="s">
        <v>41</v>
      </c>
      <c r="D336" t="s">
        <v>1378</v>
      </c>
      <c r="E336" t="s">
        <v>22</v>
      </c>
      <c r="F336" t="s">
        <v>53</v>
      </c>
      <c r="G336" s="6">
        <v>1</v>
      </c>
      <c r="H336" s="6">
        <v>19700</v>
      </c>
      <c r="I336" t="s">
        <v>1379</v>
      </c>
      <c r="J336" t="s">
        <v>1379</v>
      </c>
      <c r="K336">
        <v>1</v>
      </c>
      <c r="L336">
        <v>1879</v>
      </c>
      <c r="M336">
        <f t="shared" si="15"/>
        <v>147</v>
      </c>
      <c r="N336" t="str">
        <v>Headquarters
711 High Street 
Des Moines, Iowa    50392
United States
Main Phone: 515 247 5111</v>
      </c>
      <c r="O336" t="str">
        <f t="shared" si="16"/>
        <v>0</v>
      </c>
      <c r="P336">
        <v>20690.400000000001</v>
      </c>
      <c r="Q336">
        <v>21093.200000000001</v>
      </c>
      <c r="R336">
        <v>1730.5</v>
      </c>
      <c r="S336" s="4">
        <f t="shared" si="17"/>
        <v>12.189078301069056</v>
      </c>
      <c r="T336">
        <v>15625.5</v>
      </c>
      <c r="U336" s="1">
        <v>0.11070000000000001</v>
      </c>
    </row>
    <row r="337" spans="1:21" x14ac:dyDescent="0.3">
      <c r="A337" t="s">
        <v>1380</v>
      </c>
      <c r="B337" t="s">
        <v>1381</v>
      </c>
      <c r="C337" t="s">
        <v>20</v>
      </c>
      <c r="D337" t="s">
        <v>1382</v>
      </c>
      <c r="E337" t="s">
        <v>22</v>
      </c>
      <c r="F337" t="s">
        <v>80</v>
      </c>
      <c r="G337" s="6">
        <v>0</v>
      </c>
      <c r="H337" s="6">
        <v>2802</v>
      </c>
      <c r="J337" t="s">
        <v>1383</v>
      </c>
      <c r="K337">
        <v>0</v>
      </c>
      <c r="L337">
        <v>1983</v>
      </c>
      <c r="M337">
        <f t="shared" si="15"/>
        <v>43</v>
      </c>
      <c r="N337" t="str">
        <v>Headquarters
Pier 1, Bay 1 
San Francisco, California    94111
United States
Main Phone: 415 394 9000
Main Fax: 415 394 9001</v>
      </c>
      <c r="O337" t="str">
        <f t="shared" si="16"/>
        <v>1</v>
      </c>
      <c r="P337">
        <v>132527.20000000001</v>
      </c>
      <c r="Q337">
        <v>171685.4</v>
      </c>
      <c r="R337">
        <v>6442.9</v>
      </c>
      <c r="S337" s="4">
        <f t="shared" si="17"/>
        <v>26.647224076114792</v>
      </c>
      <c r="T337">
        <v>9192.7000000000007</v>
      </c>
      <c r="U337" s="1">
        <v>0.70089999999999997</v>
      </c>
    </row>
    <row r="338" spans="1:21" x14ac:dyDescent="0.3">
      <c r="A338" t="s">
        <v>1384</v>
      </c>
      <c r="B338" t="s">
        <v>1385</v>
      </c>
      <c r="C338" t="s">
        <v>20</v>
      </c>
      <c r="D338" t="s">
        <v>1386</v>
      </c>
      <c r="E338" t="s">
        <v>22</v>
      </c>
      <c r="F338" t="s">
        <v>53</v>
      </c>
      <c r="G338" s="6">
        <v>1</v>
      </c>
      <c r="H338" s="6">
        <v>36607</v>
      </c>
      <c r="J338" t="s">
        <v>1387</v>
      </c>
      <c r="K338">
        <v>0</v>
      </c>
      <c r="L338">
        <v>1875</v>
      </c>
      <c r="M338">
        <f t="shared" si="15"/>
        <v>151</v>
      </c>
      <c r="N338" t="str">
        <v>Headquarters
751 Broad Street 
Newark, New Jersey    07102
United States
Main Phone: 973 802 6000</v>
      </c>
      <c r="O338" t="str">
        <f t="shared" si="16"/>
        <v>0</v>
      </c>
      <c r="P338">
        <v>34226.400000000001</v>
      </c>
      <c r="Q338">
        <v>61949.4</v>
      </c>
      <c r="R338">
        <v>5243</v>
      </c>
      <c r="S338" s="4">
        <f t="shared" si="17"/>
        <v>11.815639900820141</v>
      </c>
      <c r="T338">
        <v>61233</v>
      </c>
      <c r="U338" s="1">
        <v>8.5599999999999996E-2</v>
      </c>
    </row>
    <row r="339" spans="1:21" x14ac:dyDescent="0.3">
      <c r="A339" t="s">
        <v>1388</v>
      </c>
      <c r="B339" t="s">
        <v>1389</v>
      </c>
      <c r="C339" t="s">
        <v>41</v>
      </c>
      <c r="D339" t="s">
        <v>1390</v>
      </c>
      <c r="E339" t="s">
        <v>22</v>
      </c>
      <c r="F339" t="s">
        <v>43</v>
      </c>
      <c r="G339" s="6">
        <v>0</v>
      </c>
      <c r="H339" s="6">
        <v>7000</v>
      </c>
      <c r="J339" t="s">
        <v>1391</v>
      </c>
      <c r="K339">
        <v>0</v>
      </c>
      <c r="L339">
        <v>1985</v>
      </c>
      <c r="M339">
        <f t="shared" si="15"/>
        <v>41</v>
      </c>
      <c r="N339" t="str">
        <v>Headquarters
121 Seaport Boulevard 
Boston, Massachusetts    02210
United States
Main Phone: 781 370 5000
Main Fax: 781 370 6000</v>
      </c>
      <c r="O339" t="str">
        <f t="shared" si="16"/>
        <v>0</v>
      </c>
      <c r="P339">
        <v>18633.599999999999</v>
      </c>
      <c r="Q339">
        <v>19804.900000000001</v>
      </c>
      <c r="R339">
        <v>1226.2</v>
      </c>
      <c r="S339" s="4">
        <f t="shared" si="17"/>
        <v>16.151443483934106</v>
      </c>
      <c r="T339">
        <v>2859.9</v>
      </c>
      <c r="U339" s="1">
        <v>0.42880000000000001</v>
      </c>
    </row>
    <row r="340" spans="1:21" x14ac:dyDescent="0.3">
      <c r="A340" t="s">
        <v>1392</v>
      </c>
      <c r="B340" t="s">
        <v>1393</v>
      </c>
      <c r="C340" t="s">
        <v>20</v>
      </c>
      <c r="D340" t="s">
        <v>1394</v>
      </c>
      <c r="E340" t="s">
        <v>22</v>
      </c>
      <c r="F340" t="s">
        <v>89</v>
      </c>
      <c r="G340" s="6">
        <v>0</v>
      </c>
      <c r="H340" s="6">
        <v>13047</v>
      </c>
      <c r="J340" t="s">
        <v>1395</v>
      </c>
      <c r="K340">
        <v>0</v>
      </c>
      <c r="L340">
        <v>1903</v>
      </c>
      <c r="M340">
        <f t="shared" si="15"/>
        <v>123</v>
      </c>
      <c r="N340" t="str">
        <v>Headquarters
80 Park Plaza 
Newark, New Jersey    07102
United States
Main Phone: 973 430 7000</v>
      </c>
      <c r="O340" t="str">
        <f t="shared" si="16"/>
        <v>0</v>
      </c>
      <c r="P340">
        <v>42926.5</v>
      </c>
      <c r="Q340">
        <v>67024.5</v>
      </c>
      <c r="R340">
        <v>4504</v>
      </c>
      <c r="S340" s="4">
        <f t="shared" si="17"/>
        <v>14.881105683836589</v>
      </c>
      <c r="T340">
        <v>12168</v>
      </c>
      <c r="U340" s="1">
        <v>0.37019999999999997</v>
      </c>
    </row>
    <row r="341" spans="1:21" x14ac:dyDescent="0.3">
      <c r="A341" t="s">
        <v>1396</v>
      </c>
      <c r="B341" t="s">
        <v>1397</v>
      </c>
      <c r="C341" t="s">
        <v>20</v>
      </c>
      <c r="D341" t="s">
        <v>1398</v>
      </c>
      <c r="E341" t="s">
        <v>22</v>
      </c>
      <c r="F341" t="s">
        <v>80</v>
      </c>
      <c r="G341" s="6">
        <v>0</v>
      </c>
      <c r="H341" s="6">
        <v>5770</v>
      </c>
      <c r="J341" t="s">
        <v>1399</v>
      </c>
      <c r="K341">
        <v>0</v>
      </c>
      <c r="L341">
        <v>1972</v>
      </c>
      <c r="M341">
        <f t="shared" si="15"/>
        <v>54</v>
      </c>
      <c r="N341" t="str">
        <v>Headquarters
701 Western Avenue
2nd Floor 
Frisco, Texas    91201-2349
United States
Main Phone: 818 244 8080
Main Fax: 818 291 1015
Other Phone: 800 421 2856</v>
      </c>
      <c r="O341" t="str">
        <f t="shared" si="16"/>
        <v>0</v>
      </c>
      <c r="P341">
        <v>53891</v>
      </c>
      <c r="Q341">
        <v>68270.5</v>
      </c>
      <c r="R341">
        <v>3406.7</v>
      </c>
      <c r="S341" s="4">
        <f t="shared" si="17"/>
        <v>20.040068101094903</v>
      </c>
      <c r="T341">
        <v>4833.7</v>
      </c>
      <c r="U341" s="1">
        <v>0.70479999999999998</v>
      </c>
    </row>
    <row r="342" spans="1:21" x14ac:dyDescent="0.3">
      <c r="A342" t="s">
        <v>1400</v>
      </c>
      <c r="B342" t="s">
        <v>1401</v>
      </c>
      <c r="C342" t="s">
        <v>20</v>
      </c>
      <c r="D342" t="s">
        <v>1402</v>
      </c>
      <c r="E342" t="s">
        <v>22</v>
      </c>
      <c r="F342" t="s">
        <v>67</v>
      </c>
      <c r="G342" s="6">
        <v>0</v>
      </c>
      <c r="H342" s="6">
        <v>6506</v>
      </c>
      <c r="J342" t="s">
        <v>1403</v>
      </c>
      <c r="K342">
        <v>0</v>
      </c>
      <c r="L342">
        <v>1950</v>
      </c>
      <c r="M342">
        <f t="shared" si="15"/>
        <v>76</v>
      </c>
      <c r="N342" t="str">
        <v>Headquarters
3350 Peachtree Road NE
Suite 1500 
Atlanta, Georgia    30326
United States
Main Phone: 404 978 6400</v>
      </c>
      <c r="O342" t="str">
        <f t="shared" si="16"/>
        <v>0</v>
      </c>
      <c r="P342">
        <v>26361.8</v>
      </c>
      <c r="Q342">
        <v>26777.200000000001</v>
      </c>
      <c r="R342">
        <v>3111.2</v>
      </c>
      <c r="S342" s="4">
        <f t="shared" si="17"/>
        <v>8.6067112368218055</v>
      </c>
      <c r="T342">
        <v>17312</v>
      </c>
      <c r="U342" s="1">
        <v>0.1797</v>
      </c>
    </row>
    <row r="343" spans="1:21" x14ac:dyDescent="0.3">
      <c r="A343" t="s">
        <v>1404</v>
      </c>
      <c r="B343" t="s">
        <v>1405</v>
      </c>
      <c r="C343" t="s">
        <v>20</v>
      </c>
      <c r="D343" t="s">
        <v>1406</v>
      </c>
      <c r="E343" t="s">
        <v>22</v>
      </c>
      <c r="F343" t="s">
        <v>43</v>
      </c>
      <c r="G343" s="6">
        <v>0</v>
      </c>
      <c r="H343" s="6" t="s">
        <v>91</v>
      </c>
      <c r="J343" t="s">
        <v>1407</v>
      </c>
      <c r="K343">
        <v>0</v>
      </c>
      <c r="L343">
        <v>2024</v>
      </c>
      <c r="M343">
        <f t="shared" si="15"/>
        <v>2</v>
      </c>
      <c r="N343" t="str">
        <v>Headquarters
Building 735
974 Centre Road 
Wilmington, Delaware    19805
United States
Main Phone: 302 294 4651</v>
      </c>
      <c r="O343" t="str">
        <f t="shared" si="16"/>
        <v>0</v>
      </c>
      <c r="P343">
        <v>26576.400000000001</v>
      </c>
      <c r="Q343">
        <v>30459.4</v>
      </c>
      <c r="R343">
        <v>1397</v>
      </c>
      <c r="S343" s="4">
        <f t="shared" si="17"/>
        <v>21.803435934144595</v>
      </c>
      <c r="T343">
        <v>4754</v>
      </c>
      <c r="U343" s="1">
        <v>0.29389999999999999</v>
      </c>
    </row>
    <row r="344" spans="1:21" x14ac:dyDescent="0.3">
      <c r="A344" t="s">
        <v>1408</v>
      </c>
      <c r="B344" t="s">
        <v>1409</v>
      </c>
      <c r="C344" t="s">
        <v>41</v>
      </c>
      <c r="D344" t="s">
        <v>1410</v>
      </c>
      <c r="E344" t="s">
        <v>22</v>
      </c>
      <c r="F344" t="s">
        <v>43</v>
      </c>
      <c r="G344" s="6">
        <v>0</v>
      </c>
      <c r="H344" s="6">
        <v>52000</v>
      </c>
      <c r="J344" t="s">
        <v>1411</v>
      </c>
      <c r="K344">
        <v>0</v>
      </c>
      <c r="L344">
        <v>1985</v>
      </c>
      <c r="M344">
        <f t="shared" si="15"/>
        <v>41</v>
      </c>
      <c r="N344" t="str">
        <v>Headquarters
5775 Morehouse Drive 
San Diego, California    92121-1714
United States
Main Phone: 858 587 1121</v>
      </c>
      <c r="O344" t="str">
        <f t="shared" si="16"/>
        <v>1</v>
      </c>
      <c r="P344">
        <v>151898.1</v>
      </c>
      <c r="Q344">
        <v>154893.1</v>
      </c>
      <c r="R344">
        <v>13764</v>
      </c>
      <c r="S344" s="4">
        <f t="shared" si="17"/>
        <v>11.253494623655914</v>
      </c>
      <c r="T344">
        <v>44867</v>
      </c>
      <c r="U344" s="1">
        <v>0.30680000000000002</v>
      </c>
    </row>
    <row r="345" spans="1:21" x14ac:dyDescent="0.3">
      <c r="A345" t="s">
        <v>1412</v>
      </c>
      <c r="B345" t="s">
        <v>1413</v>
      </c>
      <c r="C345" t="s">
        <v>20</v>
      </c>
      <c r="D345" t="s">
        <v>1414</v>
      </c>
      <c r="E345" t="s">
        <v>22</v>
      </c>
      <c r="F345" t="s">
        <v>28</v>
      </c>
      <c r="G345" s="6">
        <v>0</v>
      </c>
      <c r="H345" s="6">
        <v>69500</v>
      </c>
      <c r="J345" t="s">
        <v>1415</v>
      </c>
      <c r="K345">
        <v>0</v>
      </c>
      <c r="L345">
        <v>1997</v>
      </c>
      <c r="M345">
        <f t="shared" si="15"/>
        <v>29</v>
      </c>
      <c r="N345" t="str">
        <v>Headquarters
2727 North Loop West 
Houston, Texas    77008
United States
Main Phone: 713 629 7600</v>
      </c>
      <c r="O345" t="str">
        <f t="shared" si="16"/>
        <v>0</v>
      </c>
      <c r="P345">
        <v>84247.7</v>
      </c>
      <c r="Q345">
        <v>90316.800000000003</v>
      </c>
      <c r="R345">
        <v>2497.4</v>
      </c>
      <c r="S345" s="4">
        <f t="shared" si="17"/>
        <v>36.164330904140307</v>
      </c>
      <c r="T345">
        <v>28479.7</v>
      </c>
      <c r="U345" s="1">
        <v>8.77E-2</v>
      </c>
    </row>
    <row r="346" spans="1:21" x14ac:dyDescent="0.3">
      <c r="A346" t="s">
        <v>1416</v>
      </c>
      <c r="B346" t="s">
        <v>1417</v>
      </c>
      <c r="C346" t="s">
        <v>20</v>
      </c>
      <c r="D346" t="s">
        <v>1418</v>
      </c>
      <c r="E346" t="s">
        <v>22</v>
      </c>
      <c r="F346" t="s">
        <v>33</v>
      </c>
      <c r="G346" s="6">
        <v>0</v>
      </c>
      <c r="H346" s="6">
        <v>57000</v>
      </c>
      <c r="J346" t="s">
        <v>1419</v>
      </c>
      <c r="K346">
        <v>0</v>
      </c>
      <c r="L346">
        <v>1967</v>
      </c>
      <c r="M346">
        <f t="shared" si="15"/>
        <v>59</v>
      </c>
      <c r="N346" t="str">
        <v>Headquarters
500 Plaza Drive 
Secaucus, New Jersey    07094
United States
Main Phone: 973 520 2700</v>
      </c>
      <c r="O346" t="str">
        <f t="shared" si="16"/>
        <v>0</v>
      </c>
      <c r="P346">
        <v>23281.8</v>
      </c>
      <c r="Q346">
        <v>29562.799999999999</v>
      </c>
      <c r="R346">
        <v>2175</v>
      </c>
      <c r="S346" s="4">
        <f t="shared" si="17"/>
        <v>13.592091954022989</v>
      </c>
      <c r="T346">
        <v>11035</v>
      </c>
      <c r="U346" s="1">
        <v>0.1971</v>
      </c>
    </row>
    <row r="347" spans="1:21" x14ac:dyDescent="0.3">
      <c r="A347" t="s">
        <v>1420</v>
      </c>
      <c r="B347" t="s">
        <v>1421</v>
      </c>
      <c r="C347" t="s">
        <v>20</v>
      </c>
      <c r="D347" t="s">
        <v>1422</v>
      </c>
      <c r="E347" t="s">
        <v>22</v>
      </c>
      <c r="F347" t="s">
        <v>67</v>
      </c>
      <c r="G347" s="6">
        <v>0</v>
      </c>
      <c r="H347" s="6">
        <v>19200</v>
      </c>
      <c r="J347" t="s">
        <v>1423</v>
      </c>
      <c r="K347">
        <v>0</v>
      </c>
      <c r="L347">
        <v>1967</v>
      </c>
      <c r="M347">
        <f t="shared" si="15"/>
        <v>59</v>
      </c>
      <c r="N347" t="str">
        <v>Headquarters
650 Madison Avenue 
New York, New York    10022
United States
Main Phone: 212 318 7000</v>
      </c>
      <c r="O347" t="str">
        <f t="shared" si="16"/>
        <v>0</v>
      </c>
      <c r="P347">
        <v>21950.5</v>
      </c>
      <c r="Q347">
        <v>22558.400000000001</v>
      </c>
      <c r="R347">
        <v>1367.3</v>
      </c>
      <c r="S347" s="4">
        <f t="shared" si="17"/>
        <v>16.498500694799972</v>
      </c>
      <c r="T347">
        <v>7833.1</v>
      </c>
      <c r="U347" s="1">
        <v>0.17460000000000001</v>
      </c>
    </row>
    <row r="348" spans="1:21" x14ac:dyDescent="0.3">
      <c r="A348" t="s">
        <v>1424</v>
      </c>
      <c r="B348" t="s">
        <v>1425</v>
      </c>
      <c r="C348" t="s">
        <v>20</v>
      </c>
      <c r="D348" t="s">
        <v>1426</v>
      </c>
      <c r="E348" t="s">
        <v>22</v>
      </c>
      <c r="F348" t="s">
        <v>53</v>
      </c>
      <c r="G348" s="6">
        <v>1</v>
      </c>
      <c r="H348" s="6">
        <v>19500</v>
      </c>
      <c r="J348" t="s">
        <v>1427</v>
      </c>
      <c r="K348">
        <v>0</v>
      </c>
      <c r="L348">
        <v>1962</v>
      </c>
      <c r="M348">
        <f t="shared" si="15"/>
        <v>64</v>
      </c>
      <c r="N348" t="str">
        <v>Headquarters
880 Carillon Parkway 
Saint Petersburg, Florida    33716
United States
Main Phone: 727 567 1000</v>
      </c>
      <c r="O348" t="str">
        <f t="shared" si="16"/>
        <v>0</v>
      </c>
      <c r="P348">
        <v>30170.7</v>
      </c>
      <c r="Q348" t="s">
        <v>91</v>
      </c>
      <c r="R348">
        <v>0</v>
      </c>
      <c r="S348" s="4" t="e">
        <f t="shared" si="17"/>
        <v>#VALUE!</v>
      </c>
      <c r="T348">
        <v>14216</v>
      </c>
      <c r="U348" s="1">
        <v>0</v>
      </c>
    </row>
    <row r="349" spans="1:21" x14ac:dyDescent="0.3">
      <c r="A349" t="s">
        <v>1428</v>
      </c>
      <c r="B349" t="s">
        <v>1429</v>
      </c>
      <c r="C349" t="s">
        <v>20</v>
      </c>
      <c r="D349" t="s">
        <v>1430</v>
      </c>
      <c r="E349" t="s">
        <v>22</v>
      </c>
      <c r="F349" t="s">
        <v>80</v>
      </c>
      <c r="G349" s="6">
        <v>0</v>
      </c>
      <c r="H349" s="6">
        <v>544</v>
      </c>
      <c r="J349" t="s">
        <v>1431</v>
      </c>
      <c r="K349">
        <v>0</v>
      </c>
      <c r="L349">
        <v>1969</v>
      </c>
      <c r="M349">
        <f t="shared" si="15"/>
        <v>57</v>
      </c>
      <c r="N349" t="str">
        <v>Headquarters
11995 El Camino Real 
San Diego, California    92130
United States
Main Phone: (858) 284-5000
Main Fax: (858) 481-4860</v>
      </c>
      <c r="O349" t="str">
        <f t="shared" si="16"/>
        <v>1</v>
      </c>
      <c r="P349">
        <v>62473.5</v>
      </c>
      <c r="Q349">
        <v>92211.8</v>
      </c>
      <c r="R349">
        <v>5113.5</v>
      </c>
      <c r="S349" s="4">
        <f t="shared" si="17"/>
        <v>18.033010658061993</v>
      </c>
      <c r="T349">
        <v>5762.7</v>
      </c>
      <c r="U349" s="1">
        <v>0.88729999999999998</v>
      </c>
    </row>
    <row r="350" spans="1:21" x14ac:dyDescent="0.3">
      <c r="A350" t="s">
        <v>1432</v>
      </c>
      <c r="B350" t="s">
        <v>1433</v>
      </c>
      <c r="C350" t="s">
        <v>41</v>
      </c>
      <c r="D350" t="s">
        <v>1434</v>
      </c>
      <c r="E350" t="s">
        <v>22</v>
      </c>
      <c r="F350" t="s">
        <v>80</v>
      </c>
      <c r="G350" s="6">
        <v>0</v>
      </c>
      <c r="H350" s="6">
        <v>505</v>
      </c>
      <c r="I350" t="s">
        <v>1435</v>
      </c>
      <c r="J350" t="s">
        <v>1435</v>
      </c>
      <c r="K350">
        <v>1</v>
      </c>
      <c r="L350">
        <v>1963</v>
      </c>
      <c r="M350">
        <f t="shared" si="15"/>
        <v>63</v>
      </c>
      <c r="N350" t="str">
        <v>Headquarters
One Independent Drive
Suite 114 
Jacksonville, Florida    32202-5019
United States
Main Phone: 904 598 7000</v>
      </c>
      <c r="O350" t="str">
        <f t="shared" si="16"/>
        <v>0</v>
      </c>
      <c r="P350">
        <v>14410.6</v>
      </c>
      <c r="Q350">
        <v>19782.099999999999</v>
      </c>
      <c r="R350">
        <v>1023.3</v>
      </c>
      <c r="S350" s="4">
        <f t="shared" si="17"/>
        <v>19.331672041434572</v>
      </c>
      <c r="T350">
        <v>1611</v>
      </c>
      <c r="U350" s="1">
        <v>0.63519999999999999</v>
      </c>
    </row>
    <row r="351" spans="1:21" x14ac:dyDescent="0.3">
      <c r="A351" t="s">
        <v>1436</v>
      </c>
      <c r="B351" t="s">
        <v>1437</v>
      </c>
      <c r="C351" t="s">
        <v>41</v>
      </c>
      <c r="D351" t="s">
        <v>1438</v>
      </c>
      <c r="E351" t="s">
        <v>22</v>
      </c>
      <c r="F351" t="s">
        <v>33</v>
      </c>
      <c r="G351" s="6">
        <v>0</v>
      </c>
      <c r="H351" s="6">
        <v>15410</v>
      </c>
      <c r="J351" t="s">
        <v>1439</v>
      </c>
      <c r="K351">
        <v>0</v>
      </c>
      <c r="L351">
        <v>1988</v>
      </c>
      <c r="M351">
        <f t="shared" si="15"/>
        <v>38</v>
      </c>
      <c r="N351" t="str">
        <v>Headquarters
777 Old Saw Mill River Road 
Tarrytown, New York    10591-6707
United States
Main Phone: 914 847 7000</v>
      </c>
      <c r="O351" t="str">
        <f t="shared" si="16"/>
        <v>0</v>
      </c>
      <c r="P351">
        <v>80214.8</v>
      </c>
      <c r="Q351">
        <v>64321.7</v>
      </c>
      <c r="R351">
        <v>4245.7</v>
      </c>
      <c r="S351" s="4">
        <f t="shared" si="17"/>
        <v>15.149845726264219</v>
      </c>
      <c r="T351">
        <v>14342.9</v>
      </c>
      <c r="U351" s="1">
        <v>0.29599999999999999</v>
      </c>
    </row>
    <row r="352" spans="1:21" x14ac:dyDescent="0.3">
      <c r="A352" t="s">
        <v>1440</v>
      </c>
      <c r="B352" t="s">
        <v>1441</v>
      </c>
      <c r="C352" t="s">
        <v>20</v>
      </c>
      <c r="D352" t="s">
        <v>1442</v>
      </c>
      <c r="E352" t="s">
        <v>22</v>
      </c>
      <c r="F352" t="s">
        <v>53</v>
      </c>
      <c r="G352" s="6">
        <v>1</v>
      </c>
      <c r="H352" s="6">
        <v>19969</v>
      </c>
      <c r="J352" t="s">
        <v>1443</v>
      </c>
      <c r="K352">
        <v>0</v>
      </c>
      <c r="L352">
        <v>1971</v>
      </c>
      <c r="M352">
        <f t="shared" si="15"/>
        <v>55</v>
      </c>
      <c r="N352" t="str">
        <v>Headquarters
1900 Fifth Avenue North 
Birmingham, Alabama    35203
United States
Main Phone: 800 734 4667</v>
      </c>
      <c r="O352" t="str">
        <f t="shared" si="16"/>
        <v>0</v>
      </c>
      <c r="P352">
        <v>24031.4</v>
      </c>
      <c r="Q352" t="s">
        <v>91</v>
      </c>
      <c r="R352">
        <v>0</v>
      </c>
      <c r="S352" s="4" t="e">
        <f t="shared" si="17"/>
        <v>#VALUE!</v>
      </c>
      <c r="T352">
        <v>7056</v>
      </c>
      <c r="U352" s="1">
        <v>0</v>
      </c>
    </row>
    <row r="353" spans="1:21" x14ac:dyDescent="0.3">
      <c r="A353" t="s">
        <v>1444</v>
      </c>
      <c r="B353" t="s">
        <v>1445</v>
      </c>
      <c r="C353" t="s">
        <v>20</v>
      </c>
      <c r="D353" t="s">
        <v>1446</v>
      </c>
      <c r="E353" t="s">
        <v>22</v>
      </c>
      <c r="F353" t="s">
        <v>28</v>
      </c>
      <c r="G353" s="6">
        <v>0</v>
      </c>
      <c r="H353" s="6">
        <v>42000</v>
      </c>
      <c r="J353" t="s">
        <v>1447</v>
      </c>
      <c r="K353">
        <v>0</v>
      </c>
      <c r="L353">
        <v>1996</v>
      </c>
      <c r="M353">
        <f t="shared" si="15"/>
        <v>30</v>
      </c>
      <c r="N353" t="str">
        <v>Headquarters
5353 East City North Drive 
Phoenix, Arizona    85054
United States
Main Phone: 480 627 2700</v>
      </c>
      <c r="O353" t="str">
        <f t="shared" si="16"/>
        <v>0</v>
      </c>
      <c r="P353">
        <v>70716.3</v>
      </c>
      <c r="Q353">
        <v>84447.3</v>
      </c>
      <c r="R353">
        <v>5141</v>
      </c>
      <c r="S353" s="4">
        <f t="shared" si="17"/>
        <v>16.426240031122351</v>
      </c>
      <c r="T353">
        <v>16591</v>
      </c>
      <c r="U353" s="1">
        <v>0.30990000000000001</v>
      </c>
    </row>
    <row r="354" spans="1:21" x14ac:dyDescent="0.3">
      <c r="A354" t="s">
        <v>1448</v>
      </c>
      <c r="B354" t="s">
        <v>1449</v>
      </c>
      <c r="C354" t="s">
        <v>20</v>
      </c>
      <c r="D354" t="s">
        <v>1450</v>
      </c>
      <c r="E354" t="s">
        <v>22</v>
      </c>
      <c r="F354" t="s">
        <v>33</v>
      </c>
      <c r="G354" s="6">
        <v>0</v>
      </c>
      <c r="H354" s="6">
        <v>10600</v>
      </c>
      <c r="J354" t="s">
        <v>1451</v>
      </c>
      <c r="K354">
        <v>0</v>
      </c>
      <c r="L354">
        <v>1989</v>
      </c>
      <c r="M354">
        <f t="shared" si="15"/>
        <v>37</v>
      </c>
      <c r="N354" t="str">
        <v>Headquarters
9001 Spectrum Center Boulevard 
San Diego, California    92123
United States
Main Phone: 858-836-5000</v>
      </c>
      <c r="O354" t="str">
        <f t="shared" si="16"/>
        <v>1</v>
      </c>
      <c r="P354">
        <v>37331.5</v>
      </c>
      <c r="Q354">
        <v>36762.199999999997</v>
      </c>
      <c r="R354">
        <v>2025</v>
      </c>
      <c r="S354" s="4">
        <f t="shared" si="17"/>
        <v>18.15417283950617</v>
      </c>
      <c r="T354">
        <v>5398.1</v>
      </c>
      <c r="U354" s="1">
        <v>0.37509999999999999</v>
      </c>
    </row>
    <row r="355" spans="1:21" x14ac:dyDescent="0.3">
      <c r="A355" t="s">
        <v>1452</v>
      </c>
      <c r="B355" t="s">
        <v>1453</v>
      </c>
      <c r="C355" t="s">
        <v>20</v>
      </c>
      <c r="D355" t="s">
        <v>1454</v>
      </c>
      <c r="E355" t="s">
        <v>22</v>
      </c>
      <c r="F355" t="s">
        <v>33</v>
      </c>
      <c r="G355" s="6">
        <v>0</v>
      </c>
      <c r="H355" s="6">
        <v>11000</v>
      </c>
      <c r="J355" t="s">
        <v>1455</v>
      </c>
      <c r="K355">
        <v>0</v>
      </c>
      <c r="L355">
        <v>1937</v>
      </c>
      <c r="M355">
        <f t="shared" si="15"/>
        <v>89</v>
      </c>
      <c r="N355" t="str">
        <v>Headquarters
77 4th Avenue 
Waltham, Massachusetts    02451
United States
Main Phone: 781 663 6900</v>
      </c>
      <c r="O355" t="str">
        <f t="shared" si="16"/>
        <v>0</v>
      </c>
      <c r="P355">
        <v>10991</v>
      </c>
      <c r="Q355">
        <v>13441.5</v>
      </c>
      <c r="R355">
        <v>840.9</v>
      </c>
      <c r="S355" s="4">
        <f t="shared" si="17"/>
        <v>15.984659293613985</v>
      </c>
      <c r="T355">
        <v>2856.1</v>
      </c>
      <c r="U355" s="1">
        <v>0.2944</v>
      </c>
    </row>
    <row r="356" spans="1:21" x14ac:dyDescent="0.3">
      <c r="A356" t="s">
        <v>1456</v>
      </c>
      <c r="B356" t="s">
        <v>1457</v>
      </c>
      <c r="C356" t="s">
        <v>41</v>
      </c>
      <c r="D356" t="s">
        <v>1458</v>
      </c>
      <c r="E356" t="s">
        <v>22</v>
      </c>
      <c r="F356" t="s">
        <v>53</v>
      </c>
      <c r="G356" s="6">
        <v>1</v>
      </c>
      <c r="H356" s="6">
        <v>2900</v>
      </c>
      <c r="J356" t="s">
        <v>1459</v>
      </c>
      <c r="K356">
        <v>0</v>
      </c>
      <c r="L356">
        <v>2013</v>
      </c>
      <c r="M356">
        <f t="shared" si="15"/>
        <v>13</v>
      </c>
      <c r="N356" t="str">
        <v>Headquarters
85 Willow Road 
Menlo Park, California    94025
United States
Main Phone: 844 428 5411</v>
      </c>
      <c r="O356" t="str">
        <f t="shared" si="16"/>
        <v>1</v>
      </c>
      <c r="P356">
        <v>68288.399999999994</v>
      </c>
      <c r="Q356" t="s">
        <v>91</v>
      </c>
      <c r="R356">
        <v>0</v>
      </c>
      <c r="S356" s="4" t="e">
        <f t="shared" si="17"/>
        <v>#VALUE!</v>
      </c>
      <c r="T356">
        <v>4473</v>
      </c>
      <c r="U356" s="1">
        <v>0</v>
      </c>
    </row>
    <row r="357" spans="1:21" x14ac:dyDescent="0.3">
      <c r="A357" t="s">
        <v>1460</v>
      </c>
      <c r="B357" t="s">
        <v>1461</v>
      </c>
      <c r="C357" t="s">
        <v>20</v>
      </c>
      <c r="D357" t="s">
        <v>1462</v>
      </c>
      <c r="E357" t="s">
        <v>22</v>
      </c>
      <c r="F357" t="s">
        <v>28</v>
      </c>
      <c r="G357" s="6">
        <v>0</v>
      </c>
      <c r="H357" s="6">
        <v>26000</v>
      </c>
      <c r="J357" t="s">
        <v>1463</v>
      </c>
      <c r="K357">
        <v>0</v>
      </c>
      <c r="L357">
        <v>1903</v>
      </c>
      <c r="M357">
        <f t="shared" si="15"/>
        <v>123</v>
      </c>
      <c r="N357" t="str">
        <v>Headquarters
1201 South Second Street 
Milwaukee, Wisconsin    53204-2410
United States
Main Phone: 414 382 2000</v>
      </c>
      <c r="O357" t="str">
        <f t="shared" si="16"/>
        <v>0</v>
      </c>
      <c r="P357">
        <v>45780.2</v>
      </c>
      <c r="Q357">
        <v>49163.199999999997</v>
      </c>
      <c r="R357">
        <v>1859</v>
      </c>
      <c r="S357" s="4">
        <f t="shared" si="17"/>
        <v>26.446046261430876</v>
      </c>
      <c r="T357">
        <v>8566</v>
      </c>
      <c r="U357" s="1">
        <v>0.217</v>
      </c>
    </row>
    <row r="358" spans="1:21" x14ac:dyDescent="0.3">
      <c r="A358" t="s">
        <v>1464</v>
      </c>
      <c r="B358" t="s">
        <v>1465</v>
      </c>
      <c r="C358" t="s">
        <v>20</v>
      </c>
      <c r="D358" t="s">
        <v>1466</v>
      </c>
      <c r="E358" t="s">
        <v>22</v>
      </c>
      <c r="F358" t="s">
        <v>28</v>
      </c>
      <c r="G358" s="6">
        <v>0</v>
      </c>
      <c r="H358" s="6">
        <v>21946</v>
      </c>
      <c r="J358" t="s">
        <v>1467</v>
      </c>
      <c r="K358">
        <v>0</v>
      </c>
      <c r="L358">
        <v>1901</v>
      </c>
      <c r="M358">
        <f t="shared" si="15"/>
        <v>125</v>
      </c>
      <c r="N358" t="str">
        <v>Headquarters
2170 Piedmont Road, N.E. 
Atlanta, Georgia    30324
United States
Main Phone: 404 888 2000</v>
      </c>
      <c r="O358" t="str">
        <f t="shared" si="16"/>
        <v>0</v>
      </c>
      <c r="P358">
        <v>29293.7</v>
      </c>
      <c r="Q358">
        <v>30231.7</v>
      </c>
      <c r="R358">
        <v>854</v>
      </c>
      <c r="S358" s="4">
        <f t="shared" si="17"/>
        <v>35.400117096018739</v>
      </c>
      <c r="T358">
        <v>3761.1</v>
      </c>
      <c r="U358" s="1">
        <v>0.2271</v>
      </c>
    </row>
    <row r="359" spans="1:21" x14ac:dyDescent="0.3">
      <c r="A359" t="s">
        <v>1468</v>
      </c>
      <c r="B359" t="s">
        <v>1469</v>
      </c>
      <c r="C359" t="s">
        <v>41</v>
      </c>
      <c r="D359" t="s">
        <v>1470</v>
      </c>
      <c r="E359" t="s">
        <v>22</v>
      </c>
      <c r="F359" t="s">
        <v>43</v>
      </c>
      <c r="G359" s="6">
        <v>0</v>
      </c>
      <c r="H359" s="6">
        <v>19400</v>
      </c>
      <c r="J359" t="s">
        <v>1471</v>
      </c>
      <c r="K359">
        <v>0</v>
      </c>
      <c r="L359">
        <v>1981</v>
      </c>
      <c r="M359">
        <f t="shared" si="15"/>
        <v>45</v>
      </c>
      <c r="N359" t="str">
        <v>Headquarters
6496 University Parkway 
Sarasota, Florida    34240
United States
Main Phone: 941 556 2601</v>
      </c>
      <c r="O359" t="str">
        <f t="shared" si="16"/>
        <v>0</v>
      </c>
      <c r="P359">
        <v>35996.800000000003</v>
      </c>
      <c r="Q359">
        <v>45233.9</v>
      </c>
      <c r="R359">
        <v>3133.6</v>
      </c>
      <c r="S359" s="4">
        <f t="shared" si="17"/>
        <v>14.435122542762318</v>
      </c>
      <c r="T359">
        <v>7902.5</v>
      </c>
      <c r="U359" s="1">
        <v>0.39650000000000002</v>
      </c>
    </row>
    <row r="360" spans="1:21" x14ac:dyDescent="0.3">
      <c r="A360" t="s">
        <v>1472</v>
      </c>
      <c r="B360" t="s">
        <v>1473</v>
      </c>
      <c r="C360" t="s">
        <v>41</v>
      </c>
      <c r="D360" t="s">
        <v>1474</v>
      </c>
      <c r="E360" t="s">
        <v>22</v>
      </c>
      <c r="F360" t="s">
        <v>67</v>
      </c>
      <c r="G360" s="6">
        <v>0</v>
      </c>
      <c r="H360" s="6">
        <v>107000</v>
      </c>
      <c r="I360" t="s">
        <v>1475</v>
      </c>
      <c r="J360" t="s">
        <v>1475</v>
      </c>
      <c r="K360">
        <v>1</v>
      </c>
      <c r="L360">
        <v>1957</v>
      </c>
      <c r="M360">
        <f t="shared" si="15"/>
        <v>69</v>
      </c>
      <c r="N360" t="str">
        <v>Headquarters
5130 Hacienda Drive 
Dublin, California    94568-7579
United States
Main Phone: 925 965 4400</v>
      </c>
      <c r="O360" t="str">
        <f t="shared" si="16"/>
        <v>1</v>
      </c>
      <c r="P360">
        <v>66513.2</v>
      </c>
      <c r="Q360">
        <v>67640.600000000006</v>
      </c>
      <c r="R360">
        <v>3116</v>
      </c>
      <c r="S360" s="4">
        <f t="shared" si="17"/>
        <v>21.707509627727859</v>
      </c>
      <c r="T360">
        <v>22027.3</v>
      </c>
      <c r="U360" s="1">
        <v>0.14149999999999999</v>
      </c>
    </row>
    <row r="361" spans="1:21" x14ac:dyDescent="0.3">
      <c r="A361" t="s">
        <v>1476</v>
      </c>
      <c r="B361" t="s">
        <v>1477</v>
      </c>
      <c r="C361" t="s">
        <v>20</v>
      </c>
      <c r="D361" t="s">
        <v>1478</v>
      </c>
      <c r="E361" t="s">
        <v>22</v>
      </c>
      <c r="F361" t="s">
        <v>67</v>
      </c>
      <c r="G361" s="6">
        <v>0</v>
      </c>
      <c r="H361" s="6">
        <v>107975</v>
      </c>
      <c r="J361" t="s">
        <v>1479</v>
      </c>
      <c r="K361">
        <v>0</v>
      </c>
      <c r="L361">
        <v>1968</v>
      </c>
      <c r="M361">
        <f t="shared" si="15"/>
        <v>58</v>
      </c>
      <c r="N361" t="str">
        <v>Headquarters
1050 Caribbean Way 
Miami, Florida    33132-2096
United States
Main Phone: 305 539 6000</v>
      </c>
      <c r="O361" t="str">
        <f t="shared" si="16"/>
        <v>0</v>
      </c>
      <c r="P361">
        <v>84123.5</v>
      </c>
      <c r="Q361">
        <v>105541.5</v>
      </c>
      <c r="R361">
        <v>6637</v>
      </c>
      <c r="S361" s="4">
        <f t="shared" si="17"/>
        <v>15.90198885038421</v>
      </c>
      <c r="T361">
        <v>17935</v>
      </c>
      <c r="U361" s="1">
        <v>0.37009999999999998</v>
      </c>
    </row>
    <row r="362" spans="1:21" x14ac:dyDescent="0.3">
      <c r="A362" t="s">
        <v>1480</v>
      </c>
      <c r="B362" t="s">
        <v>1481</v>
      </c>
      <c r="C362" t="s">
        <v>20</v>
      </c>
      <c r="D362" t="s">
        <v>1482</v>
      </c>
      <c r="E362" t="s">
        <v>22</v>
      </c>
      <c r="F362" t="s">
        <v>28</v>
      </c>
      <c r="G362" s="6">
        <v>0</v>
      </c>
      <c r="H362" s="6">
        <v>180000</v>
      </c>
      <c r="J362" t="s">
        <v>1483</v>
      </c>
      <c r="K362">
        <v>0</v>
      </c>
      <c r="L362">
        <v>1934</v>
      </c>
      <c r="M362">
        <f t="shared" si="15"/>
        <v>92</v>
      </c>
      <c r="N362" t="str">
        <v>Headquarters
1000 Wilson Boulevard 
Arlington, Virginia    22209
United States
Main Phone: 781 522 3000</v>
      </c>
      <c r="O362" t="str">
        <f t="shared" si="16"/>
        <v>0</v>
      </c>
      <c r="P362">
        <v>271974.3</v>
      </c>
      <c r="Q362">
        <v>306388.3</v>
      </c>
      <c r="R362">
        <v>14735</v>
      </c>
      <c r="S362" s="4">
        <f t="shared" si="17"/>
        <v>20.793233797081776</v>
      </c>
      <c r="T362">
        <v>88603</v>
      </c>
      <c r="U362" s="1">
        <v>0.1663</v>
      </c>
    </row>
    <row r="363" spans="1:21" x14ac:dyDescent="0.3">
      <c r="A363" t="s">
        <v>1484</v>
      </c>
      <c r="B363" t="s">
        <v>1485</v>
      </c>
      <c r="C363" t="s">
        <v>20</v>
      </c>
      <c r="D363" t="s">
        <v>1486</v>
      </c>
      <c r="E363" t="s">
        <v>22</v>
      </c>
      <c r="F363" t="s">
        <v>53</v>
      </c>
      <c r="G363" s="6">
        <v>1</v>
      </c>
      <c r="H363" s="6">
        <v>44500</v>
      </c>
      <c r="I363" t="s">
        <v>1487</v>
      </c>
      <c r="J363" t="s">
        <v>1487</v>
      </c>
      <c r="K363">
        <v>1</v>
      </c>
      <c r="L363">
        <v>1860</v>
      </c>
      <c r="M363">
        <f t="shared" si="15"/>
        <v>166</v>
      </c>
      <c r="N363" t="str">
        <v>Headquarters
55 Water Street 
New York, New York    10041
United States
Main Phone: 212-438-1000</v>
      </c>
      <c r="O363" t="str">
        <f t="shared" si="16"/>
        <v>0</v>
      </c>
      <c r="P363">
        <v>132023</v>
      </c>
      <c r="Q363">
        <v>148953</v>
      </c>
      <c r="R363">
        <v>7644</v>
      </c>
      <c r="S363" s="4">
        <f t="shared" si="17"/>
        <v>19.486263736263737</v>
      </c>
      <c r="T363">
        <v>15336</v>
      </c>
      <c r="U363" s="1">
        <v>0.49840000000000001</v>
      </c>
    </row>
    <row r="364" spans="1:21" x14ac:dyDescent="0.3">
      <c r="A364" t="s">
        <v>1488</v>
      </c>
      <c r="B364" t="s">
        <v>1489</v>
      </c>
      <c r="C364" t="s">
        <v>20</v>
      </c>
      <c r="D364" t="s">
        <v>1490</v>
      </c>
      <c r="E364" t="s">
        <v>22</v>
      </c>
      <c r="F364" t="s">
        <v>43</v>
      </c>
      <c r="G364" s="6">
        <v>0</v>
      </c>
      <c r="H364" s="6">
        <v>76453</v>
      </c>
      <c r="J364" t="s">
        <v>1491</v>
      </c>
      <c r="K364">
        <v>0</v>
      </c>
      <c r="L364">
        <v>1999</v>
      </c>
      <c r="M364">
        <f t="shared" si="15"/>
        <v>27</v>
      </c>
      <c r="N364" t="str">
        <v>Headquarters
Salesforce Tower
3rd Floor
415 Mission Street 
San Francisco, California    94105
United States
Main Phone: 415 901 7000
Main Fax: 415 901 7040</v>
      </c>
      <c r="O364" t="str">
        <f t="shared" si="16"/>
        <v>1</v>
      </c>
      <c r="P364">
        <v>182518.2</v>
      </c>
      <c r="Q364">
        <v>190129.2</v>
      </c>
      <c r="R364">
        <v>12548</v>
      </c>
      <c r="S364" s="4">
        <f t="shared" si="17"/>
        <v>15.152151737328658</v>
      </c>
      <c r="T364">
        <v>41525</v>
      </c>
      <c r="U364" s="1">
        <v>0.30220000000000002</v>
      </c>
    </row>
    <row r="365" spans="1:21" x14ac:dyDescent="0.3">
      <c r="A365" t="s">
        <v>1492</v>
      </c>
      <c r="B365" t="s">
        <v>1493</v>
      </c>
      <c r="C365" t="s">
        <v>41</v>
      </c>
      <c r="D365" t="s">
        <v>1494</v>
      </c>
      <c r="E365" t="s">
        <v>22</v>
      </c>
      <c r="F365" t="s">
        <v>43</v>
      </c>
      <c r="G365" s="6">
        <v>0</v>
      </c>
      <c r="H365" s="6">
        <v>11000</v>
      </c>
      <c r="J365" t="s">
        <v>1495</v>
      </c>
      <c r="K365">
        <v>0</v>
      </c>
      <c r="L365">
        <v>2024</v>
      </c>
      <c r="M365">
        <f t="shared" si="15"/>
        <v>2</v>
      </c>
      <c r="N365" t="str">
        <v>Headquarters
951 Sandisk Drive 
Milpitas, California    95035
United States
Main Phone: 408 801 1000</v>
      </c>
      <c r="O365" t="str">
        <f t="shared" si="16"/>
        <v>1</v>
      </c>
      <c r="P365">
        <v>93779.8</v>
      </c>
      <c r="Q365">
        <v>93053.8</v>
      </c>
      <c r="R365">
        <v>1425</v>
      </c>
      <c r="S365" s="4">
        <f t="shared" si="17"/>
        <v>65.300912280701752</v>
      </c>
      <c r="T365">
        <v>8929</v>
      </c>
      <c r="U365" s="1">
        <v>0.15959999999999999</v>
      </c>
    </row>
    <row r="366" spans="1:21" x14ac:dyDescent="0.3">
      <c r="A366" t="s">
        <v>1496</v>
      </c>
      <c r="B366" t="s">
        <v>1497</v>
      </c>
      <c r="C366" t="s">
        <v>41</v>
      </c>
      <c r="D366" t="s">
        <v>1498</v>
      </c>
      <c r="E366" t="s">
        <v>22</v>
      </c>
      <c r="F366" t="s">
        <v>80</v>
      </c>
      <c r="G366" s="6">
        <v>0</v>
      </c>
      <c r="H366" s="6">
        <v>1720</v>
      </c>
      <c r="J366" t="s">
        <v>1499</v>
      </c>
      <c r="K366">
        <v>0</v>
      </c>
      <c r="L366">
        <v>1989</v>
      </c>
      <c r="M366">
        <f t="shared" si="15"/>
        <v>37</v>
      </c>
      <c r="N366" t="str">
        <v>Headquarters
8051 Congress Avenue 
Boca Raton, Florida    33487-1307
United States
Main Phone: 561 995 7670
Main Fax: 561 998 3448</v>
      </c>
      <c r="O366" t="str">
        <f t="shared" si="16"/>
        <v>0</v>
      </c>
      <c r="P366">
        <v>21280.400000000001</v>
      </c>
      <c r="Q366">
        <v>36425.5</v>
      </c>
      <c r="R366">
        <v>1810.6</v>
      </c>
      <c r="S366" s="4">
        <f t="shared" si="17"/>
        <v>20.117916712691926</v>
      </c>
      <c r="T366">
        <v>2815.1</v>
      </c>
      <c r="U366" s="1">
        <v>0.64319999999999999</v>
      </c>
    </row>
    <row r="367" spans="1:21" x14ac:dyDescent="0.3">
      <c r="A367" t="s">
        <v>1500</v>
      </c>
      <c r="B367" t="s">
        <v>1501</v>
      </c>
      <c r="C367" t="s">
        <v>20</v>
      </c>
      <c r="D367" t="s">
        <v>1502</v>
      </c>
      <c r="E367" t="s">
        <v>22</v>
      </c>
      <c r="F367" t="s">
        <v>89</v>
      </c>
      <c r="G367" s="6">
        <v>0</v>
      </c>
      <c r="H367" s="6">
        <v>16773</v>
      </c>
      <c r="J367" t="s">
        <v>1503</v>
      </c>
      <c r="K367">
        <v>0</v>
      </c>
      <c r="L367">
        <v>1996</v>
      </c>
      <c r="M367">
        <f t="shared" si="15"/>
        <v>30</v>
      </c>
      <c r="N367" t="str">
        <v>Headquarters
488 8th Avenue 
San Diego, California    92101
United States
Main Phone: 619 696 2000</v>
      </c>
      <c r="O367" t="str">
        <f t="shared" si="16"/>
        <v>1</v>
      </c>
      <c r="P367">
        <v>62891.7</v>
      </c>
      <c r="Q367">
        <v>108288.7</v>
      </c>
      <c r="R367">
        <v>5501</v>
      </c>
      <c r="S367" s="4">
        <f t="shared" si="17"/>
        <v>19.685275404471913</v>
      </c>
      <c r="T367">
        <v>13702</v>
      </c>
      <c r="U367" s="1">
        <v>0.40150000000000002</v>
      </c>
    </row>
    <row r="368" spans="1:21" x14ac:dyDescent="0.3">
      <c r="A368" t="s">
        <v>1504</v>
      </c>
      <c r="B368" t="s">
        <v>1505</v>
      </c>
      <c r="C368" t="s">
        <v>20</v>
      </c>
      <c r="D368" t="s">
        <v>1506</v>
      </c>
      <c r="E368" t="s">
        <v>22</v>
      </c>
      <c r="F368" t="s">
        <v>43</v>
      </c>
      <c r="G368" s="6">
        <v>0</v>
      </c>
      <c r="H368" s="6">
        <v>29187</v>
      </c>
      <c r="J368" t="s">
        <v>1507</v>
      </c>
      <c r="K368">
        <v>0</v>
      </c>
      <c r="L368">
        <v>2004</v>
      </c>
      <c r="M368">
        <f t="shared" si="15"/>
        <v>22</v>
      </c>
      <c r="N368" t="str">
        <v>Headquarters
2225 Lawson Lane 
Santa Clara, California    95054
United States
Main Phone: 408 501 8550</v>
      </c>
      <c r="O368" t="str">
        <f t="shared" si="16"/>
        <v>1</v>
      </c>
      <c r="P368">
        <v>112978.5</v>
      </c>
      <c r="Q368">
        <v>105326.5</v>
      </c>
      <c r="R368">
        <v>2738</v>
      </c>
      <c r="S368" s="4">
        <f t="shared" si="17"/>
        <v>38.468407596785973</v>
      </c>
      <c r="T368">
        <v>13278</v>
      </c>
      <c r="U368" s="1">
        <v>0.20619999999999999</v>
      </c>
    </row>
    <row r="369" spans="1:21" x14ac:dyDescent="0.3">
      <c r="A369" t="s">
        <v>1508</v>
      </c>
      <c r="B369" t="s">
        <v>1509</v>
      </c>
      <c r="C369" t="s">
        <v>20</v>
      </c>
      <c r="D369" t="s">
        <v>1510</v>
      </c>
      <c r="E369" t="s">
        <v>22</v>
      </c>
      <c r="F369" t="s">
        <v>80</v>
      </c>
      <c r="G369" s="6">
        <v>0</v>
      </c>
      <c r="H369" s="6">
        <v>3350</v>
      </c>
      <c r="J369" t="s">
        <v>1511</v>
      </c>
      <c r="K369">
        <v>0</v>
      </c>
      <c r="L369">
        <v>1960</v>
      </c>
      <c r="M369">
        <f t="shared" si="15"/>
        <v>66</v>
      </c>
      <c r="N369" t="str">
        <v>Headquarters
225 West Washington Street 
Indianapolis, Indiana    46204-3438
United States
Main Phone: 317 636 1600
Other Phone: 317 685 7330</v>
      </c>
      <c r="O369" t="str">
        <f t="shared" si="16"/>
        <v>0</v>
      </c>
      <c r="P369">
        <v>66241.7</v>
      </c>
      <c r="Q369">
        <v>96155.7</v>
      </c>
      <c r="R369">
        <v>4703.6000000000004</v>
      </c>
      <c r="S369" s="4">
        <f t="shared" si="17"/>
        <v>20.443001105536183</v>
      </c>
      <c r="T369">
        <v>6364.5</v>
      </c>
      <c r="U369" s="1">
        <v>0.73899999999999999</v>
      </c>
    </row>
    <row r="370" spans="1:21" x14ac:dyDescent="0.3">
      <c r="A370" t="s">
        <v>1512</v>
      </c>
      <c r="B370" t="s">
        <v>1513</v>
      </c>
      <c r="C370" t="s">
        <v>41</v>
      </c>
      <c r="D370" t="s">
        <v>1514</v>
      </c>
      <c r="E370" t="s">
        <v>22</v>
      </c>
      <c r="F370" t="s">
        <v>43</v>
      </c>
      <c r="G370" s="6">
        <v>0</v>
      </c>
      <c r="H370" s="6">
        <v>10000</v>
      </c>
      <c r="J370" t="s">
        <v>1515</v>
      </c>
      <c r="K370">
        <v>0</v>
      </c>
      <c r="L370">
        <v>1962</v>
      </c>
      <c r="M370">
        <f t="shared" si="15"/>
        <v>64</v>
      </c>
      <c r="N370" t="str">
        <v>Headquarters
5260 California Avenue 
Irvine, California    92617
United States
Main Phone: 949 231 3000</v>
      </c>
      <c r="O370" t="str">
        <f t="shared" si="16"/>
        <v>1</v>
      </c>
      <c r="P370">
        <v>8959.2999999999993</v>
      </c>
      <c r="Q370">
        <v>8583.6</v>
      </c>
      <c r="R370">
        <v>945.7</v>
      </c>
      <c r="S370" s="4">
        <f t="shared" si="17"/>
        <v>9.0764513059109646</v>
      </c>
      <c r="T370">
        <v>4053.8</v>
      </c>
      <c r="U370" s="1">
        <v>0.23330000000000001</v>
      </c>
    </row>
    <row r="371" spans="1:21" x14ac:dyDescent="0.3">
      <c r="A371" t="s">
        <v>1516</v>
      </c>
      <c r="B371" t="s">
        <v>1517</v>
      </c>
      <c r="C371" t="s">
        <v>20</v>
      </c>
      <c r="D371" t="s">
        <v>1518</v>
      </c>
      <c r="E371" t="s">
        <v>22</v>
      </c>
      <c r="F371" t="s">
        <v>153</v>
      </c>
      <c r="G371" s="6">
        <v>0</v>
      </c>
      <c r="H371" s="6">
        <v>109000</v>
      </c>
      <c r="J371" t="s">
        <v>1519</v>
      </c>
      <c r="K371">
        <v>0</v>
      </c>
      <c r="L371">
        <v>1926</v>
      </c>
      <c r="M371">
        <f t="shared" si="15"/>
        <v>100</v>
      </c>
      <c r="N371" t="str">
        <v>Headquarters
5599 San Felipe
17th Floor 
Houston, Texas    77056
United States
Main Phone: 713 513 2000</v>
      </c>
      <c r="O371" t="str">
        <f t="shared" si="16"/>
        <v>0</v>
      </c>
      <c r="P371">
        <v>77068.2</v>
      </c>
      <c r="Q371">
        <v>86492.2</v>
      </c>
      <c r="R371">
        <v>7733</v>
      </c>
      <c r="S371" s="4">
        <f t="shared" si="17"/>
        <v>11.1848183111341</v>
      </c>
      <c r="T371">
        <v>35708</v>
      </c>
      <c r="U371" s="1">
        <v>0.21659999999999999</v>
      </c>
    </row>
    <row r="372" spans="1:21" x14ac:dyDescent="0.3">
      <c r="A372" t="s">
        <v>1520</v>
      </c>
      <c r="B372" t="s">
        <v>1521</v>
      </c>
      <c r="C372" t="s">
        <v>20</v>
      </c>
      <c r="D372" t="s">
        <v>1522</v>
      </c>
      <c r="E372" t="s">
        <v>22</v>
      </c>
      <c r="F372" t="s">
        <v>28</v>
      </c>
      <c r="G372" s="6">
        <v>0</v>
      </c>
      <c r="H372" s="6">
        <v>13000</v>
      </c>
      <c r="J372" t="s">
        <v>1523</v>
      </c>
      <c r="K372">
        <v>0</v>
      </c>
      <c r="L372">
        <v>1920</v>
      </c>
      <c r="M372">
        <f t="shared" si="15"/>
        <v>106</v>
      </c>
      <c r="N372" t="str">
        <v>Headquarters
2801 80th Street 
Kenosha, Wisconsin    53143
United States
Main Phone: 262 656 5200</v>
      </c>
      <c r="O372" t="str">
        <f t="shared" si="16"/>
        <v>0</v>
      </c>
      <c r="P372">
        <v>19998</v>
      </c>
      <c r="Q372">
        <v>19692.2</v>
      </c>
      <c r="R372">
        <v>1395.8</v>
      </c>
      <c r="S372" s="4">
        <f t="shared" si="17"/>
        <v>14.108181687920906</v>
      </c>
      <c r="T372">
        <v>5156.1000000000004</v>
      </c>
      <c r="U372" s="1">
        <v>0.2707</v>
      </c>
    </row>
    <row r="373" spans="1:21" x14ac:dyDescent="0.3">
      <c r="A373" t="s">
        <v>1524</v>
      </c>
      <c r="B373" t="s">
        <v>1525</v>
      </c>
      <c r="C373" t="s">
        <v>20</v>
      </c>
      <c r="D373" t="s">
        <v>1526</v>
      </c>
      <c r="E373" t="s">
        <v>22</v>
      </c>
      <c r="F373" t="s">
        <v>33</v>
      </c>
      <c r="G373" s="6">
        <v>0</v>
      </c>
      <c r="H373" s="6">
        <v>22000</v>
      </c>
      <c r="J373" t="s">
        <v>1527</v>
      </c>
      <c r="K373">
        <v>0</v>
      </c>
      <c r="L373">
        <v>2023</v>
      </c>
      <c r="M373">
        <f t="shared" si="15"/>
        <v>3</v>
      </c>
      <c r="N373" t="str">
        <v>Headquarters
1750 Yankee Doodle Road 
Eagan, Minnesota    55121
United States</v>
      </c>
      <c r="O373" t="str">
        <f t="shared" si="16"/>
        <v>0</v>
      </c>
      <c r="P373">
        <v>12873.2</v>
      </c>
      <c r="Q373">
        <v>17243.2</v>
      </c>
      <c r="R373">
        <v>1114</v>
      </c>
      <c r="S373" s="4">
        <f t="shared" si="17"/>
        <v>15.478635547576303</v>
      </c>
      <c r="T373">
        <v>8325</v>
      </c>
      <c r="U373" s="1">
        <v>0.1338</v>
      </c>
    </row>
    <row r="374" spans="1:21" x14ac:dyDescent="0.3">
      <c r="A374" t="s">
        <v>1528</v>
      </c>
      <c r="B374" t="s">
        <v>1529</v>
      </c>
      <c r="C374" t="s">
        <v>20</v>
      </c>
      <c r="D374" t="s">
        <v>1530</v>
      </c>
      <c r="E374" t="s">
        <v>22</v>
      </c>
      <c r="F374" t="s">
        <v>28</v>
      </c>
      <c r="G374" s="6">
        <v>0</v>
      </c>
      <c r="H374" s="6">
        <v>77397</v>
      </c>
      <c r="J374" t="s">
        <v>1531</v>
      </c>
      <c r="K374">
        <v>0</v>
      </c>
      <c r="L374">
        <v>1967</v>
      </c>
      <c r="M374">
        <f t="shared" si="15"/>
        <v>59</v>
      </c>
      <c r="N374" t="str">
        <v>Headquarters
P.O. Box 36611 
Dallas, Texas    75235-1611
United States
Main Phone: 214 792 4000</v>
      </c>
      <c r="O374" t="str">
        <f t="shared" si="16"/>
        <v>0</v>
      </c>
      <c r="P374">
        <v>24202.3</v>
      </c>
      <c r="Q374">
        <v>26952.3</v>
      </c>
      <c r="R374">
        <v>1720</v>
      </c>
      <c r="S374" s="4">
        <f t="shared" si="17"/>
        <v>15.669941860465116</v>
      </c>
      <c r="T374">
        <v>28063</v>
      </c>
      <c r="U374" s="1">
        <v>6.13E-2</v>
      </c>
    </row>
    <row r="375" spans="1:21" x14ac:dyDescent="0.3">
      <c r="A375" t="s">
        <v>1532</v>
      </c>
      <c r="B375" t="s">
        <v>1533</v>
      </c>
      <c r="C375" t="s">
        <v>20</v>
      </c>
      <c r="D375" t="s">
        <v>1534</v>
      </c>
      <c r="E375" t="s">
        <v>22</v>
      </c>
      <c r="F375" t="s">
        <v>28</v>
      </c>
      <c r="G375" s="6">
        <v>0</v>
      </c>
      <c r="H375" s="6">
        <v>43500</v>
      </c>
      <c r="J375" t="s">
        <v>1535</v>
      </c>
      <c r="K375">
        <v>0</v>
      </c>
      <c r="L375">
        <v>1843</v>
      </c>
      <c r="M375">
        <f t="shared" si="15"/>
        <v>183</v>
      </c>
      <c r="N375" t="str">
        <v>Headquarters
1000 Stanley Drive 
New Britain, Connecticut    06053
United States
Main Phone: 860 225 5111</v>
      </c>
      <c r="O375" t="str">
        <f t="shared" si="16"/>
        <v>0</v>
      </c>
      <c r="P375">
        <v>13412.8</v>
      </c>
      <c r="Q375">
        <v>19473.099999999999</v>
      </c>
      <c r="R375">
        <v>1686.3</v>
      </c>
      <c r="S375" s="4">
        <f t="shared" si="17"/>
        <v>11.547826602621123</v>
      </c>
      <c r="T375">
        <v>15130.4</v>
      </c>
      <c r="U375" s="1">
        <v>0.1115</v>
      </c>
    </row>
    <row r="376" spans="1:21" x14ac:dyDescent="0.3">
      <c r="A376" t="s">
        <v>1536</v>
      </c>
      <c r="B376" t="s">
        <v>1537</v>
      </c>
      <c r="C376" t="s">
        <v>41</v>
      </c>
      <c r="D376" t="s">
        <v>1538</v>
      </c>
      <c r="E376" t="s">
        <v>22</v>
      </c>
      <c r="F376" t="s">
        <v>67</v>
      </c>
      <c r="G376" s="6">
        <v>0</v>
      </c>
      <c r="H376" s="6">
        <v>381000</v>
      </c>
      <c r="J376" t="s">
        <v>1539</v>
      </c>
      <c r="K376">
        <v>0</v>
      </c>
      <c r="L376">
        <v>1971</v>
      </c>
      <c r="M376">
        <f t="shared" si="15"/>
        <v>55</v>
      </c>
      <c r="N376" t="str">
        <v>Headquarters
2401 Utah Avenue South 
Seattle, Washington    98134
United States
Main Phone: 206 447 1575</v>
      </c>
      <c r="O376" t="str">
        <f t="shared" si="16"/>
        <v>0</v>
      </c>
      <c r="P376">
        <v>111670.5</v>
      </c>
      <c r="Q376">
        <v>133567.79999999999</v>
      </c>
      <c r="R376">
        <v>5297.3</v>
      </c>
      <c r="S376" s="4">
        <f t="shared" si="17"/>
        <v>25.21431672738942</v>
      </c>
      <c r="T376">
        <v>37701.699999999997</v>
      </c>
      <c r="U376" s="1">
        <v>0.14050000000000001</v>
      </c>
    </row>
    <row r="377" spans="1:21" x14ac:dyDescent="0.3">
      <c r="A377" t="s">
        <v>1540</v>
      </c>
      <c r="B377" t="s">
        <v>1541</v>
      </c>
      <c r="C377" t="s">
        <v>20</v>
      </c>
      <c r="D377" t="s">
        <v>1542</v>
      </c>
      <c r="E377" t="s">
        <v>22</v>
      </c>
      <c r="F377" t="s">
        <v>53</v>
      </c>
      <c r="G377" s="6">
        <v>1</v>
      </c>
      <c r="H377" s="6">
        <v>51503</v>
      </c>
      <c r="J377" t="s">
        <v>1543</v>
      </c>
      <c r="K377">
        <v>0</v>
      </c>
      <c r="L377">
        <v>1792</v>
      </c>
      <c r="M377">
        <f t="shared" si="15"/>
        <v>234</v>
      </c>
      <c r="N377" t="str">
        <v>Headquarters
One Congress Street 
Boston, Massachusetts    02114
United States
Main Phone: 617 786 3000</v>
      </c>
      <c r="O377" t="str">
        <f t="shared" si="16"/>
        <v>0</v>
      </c>
      <c r="P377">
        <v>35850</v>
      </c>
      <c r="Q377" t="s">
        <v>91</v>
      </c>
      <c r="R377">
        <v>0</v>
      </c>
      <c r="S377" s="4" t="e">
        <f t="shared" si="17"/>
        <v>#VALUE!</v>
      </c>
      <c r="T377">
        <v>13885</v>
      </c>
      <c r="U377" s="1">
        <v>0</v>
      </c>
    </row>
    <row r="378" spans="1:21" x14ac:dyDescent="0.3">
      <c r="A378" t="s">
        <v>1544</v>
      </c>
      <c r="B378" t="s">
        <v>1545</v>
      </c>
      <c r="C378" t="s">
        <v>41</v>
      </c>
      <c r="D378" t="s">
        <v>1546</v>
      </c>
      <c r="E378" t="s">
        <v>22</v>
      </c>
      <c r="F378" t="s">
        <v>62</v>
      </c>
      <c r="G378" s="6">
        <v>0</v>
      </c>
      <c r="H378" s="6">
        <v>13000</v>
      </c>
      <c r="J378" t="s">
        <v>1547</v>
      </c>
      <c r="K378">
        <v>0</v>
      </c>
      <c r="L378">
        <v>1993</v>
      </c>
      <c r="M378">
        <f t="shared" si="15"/>
        <v>33</v>
      </c>
      <c r="N378" t="str">
        <v>Headquarters
7575 West Jefferson Boulevard 
Fort Wayne, Indiana    46804
United States
Main Phone: 260 969 3500</v>
      </c>
      <c r="O378" t="str">
        <f t="shared" si="16"/>
        <v>0</v>
      </c>
      <c r="P378">
        <v>27981.1</v>
      </c>
      <c r="Q378">
        <v>31567.3</v>
      </c>
      <c r="R378">
        <v>2027.4</v>
      </c>
      <c r="S378" s="4">
        <f t="shared" si="17"/>
        <v>15.570336391437309</v>
      </c>
      <c r="T378">
        <v>18176.599999999999</v>
      </c>
      <c r="U378" s="1">
        <v>0.1115</v>
      </c>
    </row>
    <row r="379" spans="1:21" x14ac:dyDescent="0.3">
      <c r="A379" t="s">
        <v>1548</v>
      </c>
      <c r="B379" t="s">
        <v>1549</v>
      </c>
      <c r="C379" t="s">
        <v>20</v>
      </c>
      <c r="D379" t="s">
        <v>1550</v>
      </c>
      <c r="E379" t="s">
        <v>22</v>
      </c>
      <c r="F379" t="s">
        <v>33</v>
      </c>
      <c r="G379" s="6">
        <v>0</v>
      </c>
      <c r="H379" s="6">
        <v>17787</v>
      </c>
      <c r="J379" t="s">
        <v>1551</v>
      </c>
      <c r="K379">
        <v>0</v>
      </c>
      <c r="L379">
        <v>1985</v>
      </c>
      <c r="M379">
        <f t="shared" si="15"/>
        <v>41</v>
      </c>
      <c r="N379" t="str">
        <v>Headquarters
5960 Heisley Road 
Mentor, Ohio    44060
United States
Main Phone: 440 354 2600</v>
      </c>
      <c r="O379" t="str">
        <f t="shared" si="16"/>
        <v>0</v>
      </c>
      <c r="P379">
        <v>24749.200000000001</v>
      </c>
      <c r="Q379">
        <v>26392.6</v>
      </c>
      <c r="R379">
        <v>1574.8</v>
      </c>
      <c r="S379" s="4">
        <f t="shared" si="17"/>
        <v>16.759334518669036</v>
      </c>
      <c r="T379">
        <v>5828</v>
      </c>
      <c r="U379" s="1">
        <v>0.2702</v>
      </c>
    </row>
    <row r="380" spans="1:21" x14ac:dyDescent="0.3">
      <c r="A380" t="s">
        <v>1552</v>
      </c>
      <c r="B380" t="s">
        <v>1553</v>
      </c>
      <c r="C380" t="s">
        <v>20</v>
      </c>
      <c r="D380" t="s">
        <v>1554</v>
      </c>
      <c r="E380" t="s">
        <v>22</v>
      </c>
      <c r="F380" t="s">
        <v>33</v>
      </c>
      <c r="G380" s="6">
        <v>0</v>
      </c>
      <c r="H380" s="6">
        <v>56000</v>
      </c>
      <c r="J380" t="s">
        <v>1555</v>
      </c>
      <c r="K380">
        <v>0</v>
      </c>
      <c r="L380">
        <v>1941</v>
      </c>
      <c r="M380">
        <f t="shared" si="15"/>
        <v>85</v>
      </c>
      <c r="N380" t="str">
        <v>Headquarters
1941 Stryker Way 
Portage, Michigan    49002
United States
Main Phone: (269) 385-2600
Main Fax: (269) 385-1062</v>
      </c>
      <c r="O380" t="str">
        <f t="shared" si="16"/>
        <v>0</v>
      </c>
      <c r="P380">
        <v>148276.6</v>
      </c>
      <c r="Q380">
        <v>160536.6</v>
      </c>
      <c r="R380">
        <v>6949</v>
      </c>
      <c r="S380" s="4">
        <f t="shared" si="17"/>
        <v>23.102115412289539</v>
      </c>
      <c r="T380">
        <v>25116</v>
      </c>
      <c r="U380" s="1">
        <v>0.2767</v>
      </c>
    </row>
    <row r="381" spans="1:21" x14ac:dyDescent="0.3">
      <c r="A381" t="s">
        <v>1556</v>
      </c>
      <c r="B381" t="s">
        <v>1557</v>
      </c>
      <c r="C381" t="s">
        <v>41</v>
      </c>
      <c r="D381" t="s">
        <v>1558</v>
      </c>
      <c r="E381" t="s">
        <v>22</v>
      </c>
      <c r="F381" t="s">
        <v>43</v>
      </c>
      <c r="G381" s="6">
        <v>0</v>
      </c>
      <c r="H381" s="6">
        <v>6238</v>
      </c>
      <c r="J381" t="s">
        <v>1559</v>
      </c>
      <c r="K381">
        <v>0</v>
      </c>
      <c r="L381">
        <v>1993</v>
      </c>
      <c r="M381">
        <f t="shared" si="15"/>
        <v>33</v>
      </c>
      <c r="N381" t="str">
        <v>Headquarters
980 Rock Avenue 
San Jose, California    95131
United States
Main Phone: 408 503 8000
Main Fax: 408 503 8008</v>
      </c>
      <c r="O381" t="str">
        <f t="shared" si="16"/>
        <v>1</v>
      </c>
      <c r="P381">
        <v>19401.3</v>
      </c>
      <c r="Q381">
        <v>20558.900000000001</v>
      </c>
      <c r="R381">
        <v>1096.9000000000001</v>
      </c>
      <c r="S381" s="4">
        <f t="shared" si="17"/>
        <v>18.742729510438508</v>
      </c>
      <c r="T381">
        <v>28057.1</v>
      </c>
      <c r="U381" s="1">
        <v>3.9100000000000003E-2</v>
      </c>
    </row>
    <row r="382" spans="1:21" x14ac:dyDescent="0.3">
      <c r="A382" t="s">
        <v>1560</v>
      </c>
      <c r="B382" t="s">
        <v>1561</v>
      </c>
      <c r="C382" t="s">
        <v>20</v>
      </c>
      <c r="D382" t="s">
        <v>1562</v>
      </c>
      <c r="E382" t="s">
        <v>22</v>
      </c>
      <c r="F382" t="s">
        <v>53</v>
      </c>
      <c r="G382" s="6">
        <v>1</v>
      </c>
      <c r="H382" s="6">
        <v>20000</v>
      </c>
      <c r="J382" t="s">
        <v>1563</v>
      </c>
      <c r="K382">
        <v>0</v>
      </c>
      <c r="L382">
        <v>1932</v>
      </c>
      <c r="M382">
        <f t="shared" si="15"/>
        <v>94</v>
      </c>
      <c r="N382" t="str">
        <v>Headquarters
777 Long Ridge Road 
Stamford, Connecticut    06902
United States
Main Phone: 203 585 2400</v>
      </c>
      <c r="O382" t="str">
        <f t="shared" si="16"/>
        <v>0</v>
      </c>
      <c r="P382">
        <v>24022.400000000001</v>
      </c>
      <c r="Q382" t="s">
        <v>91</v>
      </c>
      <c r="R382">
        <v>0</v>
      </c>
      <c r="S382" s="4" t="e">
        <f t="shared" si="17"/>
        <v>#VALUE!</v>
      </c>
      <c r="T382">
        <v>9756</v>
      </c>
      <c r="U382" s="1">
        <v>0</v>
      </c>
    </row>
    <row r="383" spans="1:21" x14ac:dyDescent="0.3">
      <c r="A383" t="s">
        <v>1564</v>
      </c>
      <c r="B383" t="s">
        <v>1565</v>
      </c>
      <c r="C383" t="s">
        <v>41</v>
      </c>
      <c r="D383" t="s">
        <v>1566</v>
      </c>
      <c r="E383" t="s">
        <v>22</v>
      </c>
      <c r="F383" t="s">
        <v>43</v>
      </c>
      <c r="G383" s="6">
        <v>0</v>
      </c>
      <c r="H383" s="6">
        <v>28000</v>
      </c>
      <c r="J383" t="s">
        <v>1567</v>
      </c>
      <c r="K383">
        <v>0</v>
      </c>
      <c r="L383">
        <v>1986</v>
      </c>
      <c r="M383">
        <f t="shared" si="15"/>
        <v>40</v>
      </c>
      <c r="N383" t="str">
        <v>Headquarters
675 Almanor Avenue 
Sunnyvale, California    94085
United States
Main Phone: 650-584-5000
Main Fax: 650-965-8637</v>
      </c>
      <c r="O383" t="str">
        <f t="shared" si="16"/>
        <v>1</v>
      </c>
      <c r="P383">
        <v>79306.7</v>
      </c>
      <c r="Q383">
        <v>87970.9</v>
      </c>
      <c r="R383">
        <v>1615.1</v>
      </c>
      <c r="S383" s="4">
        <f t="shared" si="17"/>
        <v>54.467772893319299</v>
      </c>
      <c r="T383">
        <v>8007.7</v>
      </c>
      <c r="U383" s="1">
        <v>0.20169999999999999</v>
      </c>
    </row>
    <row r="384" spans="1:21" x14ac:dyDescent="0.3">
      <c r="A384" t="s">
        <v>1568</v>
      </c>
      <c r="B384" t="s">
        <v>1569</v>
      </c>
      <c r="C384" t="s">
        <v>20</v>
      </c>
      <c r="D384" t="s">
        <v>1570</v>
      </c>
      <c r="E384" t="s">
        <v>22</v>
      </c>
      <c r="F384" t="s">
        <v>100</v>
      </c>
      <c r="G384" s="6">
        <v>0</v>
      </c>
      <c r="H384" s="6">
        <v>75000</v>
      </c>
      <c r="J384" t="s">
        <v>1571</v>
      </c>
      <c r="K384">
        <v>0</v>
      </c>
      <c r="L384">
        <v>1969</v>
      </c>
      <c r="M384">
        <f t="shared" si="15"/>
        <v>57</v>
      </c>
      <c r="N384" t="str">
        <v>Headquarters
1390 Enclave Parkway 
Houston, Texas    77077-2099
United States
Main Phone: 281 584 1390</v>
      </c>
      <c r="O384" t="str">
        <f t="shared" si="16"/>
        <v>0</v>
      </c>
      <c r="P384">
        <v>43659.3</v>
      </c>
      <c r="Q384">
        <v>57457.3</v>
      </c>
      <c r="R384">
        <v>4517</v>
      </c>
      <c r="S384" s="4">
        <f t="shared" si="17"/>
        <v>12.720234669028116</v>
      </c>
      <c r="T384">
        <v>82646</v>
      </c>
      <c r="U384" s="1">
        <v>5.4699999999999999E-2</v>
      </c>
    </row>
    <row r="385" spans="1:21" x14ac:dyDescent="0.3">
      <c r="A385" t="s">
        <v>1572</v>
      </c>
      <c r="B385" t="s">
        <v>1573</v>
      </c>
      <c r="C385" t="s">
        <v>41</v>
      </c>
      <c r="D385" t="s">
        <v>1574</v>
      </c>
      <c r="E385" t="s">
        <v>22</v>
      </c>
      <c r="F385" t="s">
        <v>95</v>
      </c>
      <c r="G385" s="6">
        <v>0</v>
      </c>
      <c r="H385" s="6">
        <v>75000</v>
      </c>
      <c r="J385" t="s">
        <v>1575</v>
      </c>
      <c r="K385">
        <v>0</v>
      </c>
      <c r="L385">
        <v>1994</v>
      </c>
      <c r="M385">
        <f t="shared" si="15"/>
        <v>32</v>
      </c>
      <c r="N385" t="str">
        <v>Headquarters
12920 SE 38th Street 
Bellevue, Washington    98006-1350
United States
Main Phone: 425 378 4000</v>
      </c>
      <c r="O385" t="str">
        <f t="shared" si="16"/>
        <v>0</v>
      </c>
      <c r="P385">
        <v>239203.4</v>
      </c>
      <c r="Q385">
        <v>357251.4</v>
      </c>
      <c r="R385">
        <v>32821</v>
      </c>
      <c r="S385" s="4">
        <f t="shared" si="17"/>
        <v>10.884842021876239</v>
      </c>
      <c r="T385">
        <v>88309</v>
      </c>
      <c r="U385" s="1">
        <v>0.37169999999999997</v>
      </c>
    </row>
    <row r="386" spans="1:21" x14ac:dyDescent="0.3">
      <c r="A386" t="s">
        <v>1576</v>
      </c>
      <c r="B386" t="s">
        <v>1577</v>
      </c>
      <c r="C386" t="s">
        <v>41</v>
      </c>
      <c r="D386" t="s">
        <v>1578</v>
      </c>
      <c r="E386" t="s">
        <v>22</v>
      </c>
      <c r="F386" t="s">
        <v>53</v>
      </c>
      <c r="G386" s="6">
        <v>1</v>
      </c>
      <c r="H386" s="6">
        <v>7773</v>
      </c>
      <c r="J386" t="s">
        <v>1579</v>
      </c>
      <c r="K386">
        <v>0</v>
      </c>
      <c r="L386">
        <v>1937</v>
      </c>
      <c r="M386">
        <f t="shared" si="15"/>
        <v>89</v>
      </c>
      <c r="N386" t="str">
        <v>Headquarters
1307 Point Street 
Baltimore, Maryland    21231
United States
Main Phone: 410 345 2000
Other Phone: 800-225-5132</v>
      </c>
      <c r="O386" t="str">
        <f t="shared" si="16"/>
        <v>0</v>
      </c>
      <c r="P386">
        <v>20636.2</v>
      </c>
      <c r="Q386">
        <v>18920.099999999999</v>
      </c>
      <c r="R386">
        <v>2971.6</v>
      </c>
      <c r="S386" s="4">
        <f t="shared" si="17"/>
        <v>6.3669740207295726</v>
      </c>
      <c r="T386">
        <v>7314.8</v>
      </c>
      <c r="U386" s="1">
        <v>0.40620000000000001</v>
      </c>
    </row>
    <row r="387" spans="1:21" x14ac:dyDescent="0.3">
      <c r="A387" t="s">
        <v>1580</v>
      </c>
      <c r="B387" t="s">
        <v>1581</v>
      </c>
      <c r="C387" t="s">
        <v>41</v>
      </c>
      <c r="D387" t="s">
        <v>1582</v>
      </c>
      <c r="E387" t="s">
        <v>22</v>
      </c>
      <c r="F387" t="s">
        <v>95</v>
      </c>
      <c r="G387" s="6">
        <v>0</v>
      </c>
      <c r="H387" s="6">
        <v>12928</v>
      </c>
      <c r="J387" t="s">
        <v>1583</v>
      </c>
      <c r="K387">
        <v>0</v>
      </c>
      <c r="L387">
        <v>1993</v>
      </c>
      <c r="M387">
        <f t="shared" ref="M387:M450" si="18">2026-L387</f>
        <v>33</v>
      </c>
      <c r="N387" t="str">
        <v>Headquarters
110 West 44th Street 
New York, New York    10036
United States
Main Phone: 646 536 2842</v>
      </c>
      <c r="O387" t="str">
        <f t="shared" ref="O387:O450" si="19">IF(ISNUMBER(SEARCH("california",N387)),"1","0")</f>
        <v>0</v>
      </c>
      <c r="P387">
        <v>39160.9</v>
      </c>
      <c r="Q387">
        <v>40313.199999999997</v>
      </c>
      <c r="R387">
        <v>826.9</v>
      </c>
      <c r="S387" s="4">
        <f t="shared" ref="S387:S450" si="20">Q387/R387</f>
        <v>48.752207038335953</v>
      </c>
      <c r="T387">
        <v>6559.1</v>
      </c>
      <c r="U387" s="1">
        <v>0.12609999999999999</v>
      </c>
    </row>
    <row r="388" spans="1:21" x14ac:dyDescent="0.3">
      <c r="A388" t="s">
        <v>1584</v>
      </c>
      <c r="B388" t="s">
        <v>1585</v>
      </c>
      <c r="C388" t="s">
        <v>20</v>
      </c>
      <c r="D388" t="s">
        <v>1586</v>
      </c>
      <c r="E388" t="s">
        <v>22</v>
      </c>
      <c r="F388" t="s">
        <v>67</v>
      </c>
      <c r="G388" s="6">
        <v>0</v>
      </c>
      <c r="H388" s="6">
        <v>15750</v>
      </c>
      <c r="I388" t="s">
        <v>1587</v>
      </c>
      <c r="J388" t="s">
        <v>1587</v>
      </c>
      <c r="K388">
        <v>1</v>
      </c>
      <c r="L388">
        <v>1941</v>
      </c>
      <c r="M388">
        <f t="shared" si="18"/>
        <v>85</v>
      </c>
      <c r="N388" t="str">
        <v>Headquarters
10 Hudson Yards 
New York, New York    10001
United States
Main Phone: 212 946 8400</v>
      </c>
      <c r="O388" t="str">
        <f t="shared" si="19"/>
        <v>0</v>
      </c>
      <c r="P388">
        <v>31477.1</v>
      </c>
      <c r="Q388">
        <v>34343.1</v>
      </c>
      <c r="R388">
        <v>1813.4</v>
      </c>
      <c r="S388" s="4">
        <f t="shared" si="20"/>
        <v>18.938513289952574</v>
      </c>
      <c r="T388">
        <v>7514.8</v>
      </c>
      <c r="U388" s="1">
        <v>0.24129999999999999</v>
      </c>
    </row>
    <row r="389" spans="1:21" x14ac:dyDescent="0.3">
      <c r="A389" t="s">
        <v>1588</v>
      </c>
      <c r="B389" t="s">
        <v>1589</v>
      </c>
      <c r="C389" t="s">
        <v>20</v>
      </c>
      <c r="D389" t="s">
        <v>1590</v>
      </c>
      <c r="E389" t="s">
        <v>22</v>
      </c>
      <c r="F389" t="s">
        <v>153</v>
      </c>
      <c r="G389" s="6">
        <v>0</v>
      </c>
      <c r="H389" s="6">
        <v>3570</v>
      </c>
      <c r="J389" t="s">
        <v>1591</v>
      </c>
      <c r="K389">
        <v>0</v>
      </c>
      <c r="L389">
        <v>2005</v>
      </c>
      <c r="M389">
        <f t="shared" si="18"/>
        <v>21</v>
      </c>
      <c r="N389" t="str">
        <v>Headquarters
811 Louisiana Street
Suite 2100 
Houston, Texas    77002
United States
Main Phone: 713 584 1000
Main Fax: 713 584 1100</v>
      </c>
      <c r="O389" t="str">
        <f t="shared" si="19"/>
        <v>0</v>
      </c>
      <c r="P389">
        <v>50685.599999999999</v>
      </c>
      <c r="Q389">
        <v>68196.100000000006</v>
      </c>
      <c r="R389">
        <v>4846.5</v>
      </c>
      <c r="S389" s="4">
        <f t="shared" si="20"/>
        <v>14.071206024966472</v>
      </c>
      <c r="T389">
        <v>17028.3</v>
      </c>
      <c r="U389" s="1">
        <v>0.28460000000000002</v>
      </c>
    </row>
    <row r="390" spans="1:21" x14ac:dyDescent="0.3">
      <c r="A390" t="s">
        <v>1592</v>
      </c>
      <c r="B390" t="s">
        <v>1593</v>
      </c>
      <c r="C390" t="s">
        <v>20</v>
      </c>
      <c r="D390" t="s">
        <v>1594</v>
      </c>
      <c r="E390" t="s">
        <v>22</v>
      </c>
      <c r="F390" t="s">
        <v>100</v>
      </c>
      <c r="G390" s="6">
        <v>0</v>
      </c>
      <c r="H390" s="6">
        <v>440000</v>
      </c>
      <c r="J390" t="s">
        <v>1595</v>
      </c>
      <c r="K390">
        <v>0</v>
      </c>
      <c r="L390">
        <v>1902</v>
      </c>
      <c r="M390">
        <f t="shared" si="18"/>
        <v>124</v>
      </c>
      <c r="N390" t="str">
        <v>Headquarters
1000 Nicollet Mall 
Minneapolis, Minnesota    55403
United States
Main Phone: 612 304 6073</v>
      </c>
      <c r="O390" t="str">
        <f t="shared" si="19"/>
        <v>0</v>
      </c>
      <c r="P390">
        <v>51524.800000000003</v>
      </c>
      <c r="Q390">
        <v>68173.8</v>
      </c>
      <c r="R390">
        <v>8066</v>
      </c>
      <c r="S390" s="4">
        <f t="shared" si="20"/>
        <v>8.4519960327299781</v>
      </c>
      <c r="T390">
        <v>105242</v>
      </c>
      <c r="U390" s="1">
        <v>7.6600000000000001E-2</v>
      </c>
    </row>
    <row r="391" spans="1:21" x14ac:dyDescent="0.3">
      <c r="A391" t="s">
        <v>1596</v>
      </c>
      <c r="B391" t="s">
        <v>1597</v>
      </c>
      <c r="C391" t="s">
        <v>20</v>
      </c>
      <c r="D391" t="s">
        <v>1598</v>
      </c>
      <c r="E391" t="s">
        <v>22</v>
      </c>
      <c r="F391" t="s">
        <v>43</v>
      </c>
      <c r="G391" s="6">
        <v>0</v>
      </c>
      <c r="H391" s="6">
        <v>15800</v>
      </c>
      <c r="J391" t="s">
        <v>1599</v>
      </c>
      <c r="K391">
        <v>0</v>
      </c>
      <c r="L391">
        <v>1960</v>
      </c>
      <c r="M391">
        <f t="shared" si="18"/>
        <v>66</v>
      </c>
      <c r="N391" t="str">
        <v>Headquarters
1049 Camino Dos Rios 
Thousand Oaks, California    91360-2362
United States
Main Phone: 805 373 4545</v>
      </c>
      <c r="O391" t="str">
        <f t="shared" si="19"/>
        <v>1</v>
      </c>
      <c r="P391">
        <v>31541.9</v>
      </c>
      <c r="Q391">
        <v>33831.599999999999</v>
      </c>
      <c r="R391">
        <v>1497</v>
      </c>
      <c r="S391" s="4">
        <f t="shared" si="20"/>
        <v>22.599599198396792</v>
      </c>
      <c r="T391">
        <v>6115.4</v>
      </c>
      <c r="U391" s="1">
        <v>0.24479999999999999</v>
      </c>
    </row>
    <row r="392" spans="1:21" x14ac:dyDescent="0.3">
      <c r="A392" t="s">
        <v>1600</v>
      </c>
      <c r="B392" t="s">
        <v>1601</v>
      </c>
      <c r="C392" t="s">
        <v>41</v>
      </c>
      <c r="D392" t="s">
        <v>1602</v>
      </c>
      <c r="E392" t="s">
        <v>22</v>
      </c>
      <c r="F392" t="s">
        <v>43</v>
      </c>
      <c r="G392" s="6">
        <v>0</v>
      </c>
      <c r="H392" s="6">
        <v>6600</v>
      </c>
      <c r="J392" t="s">
        <v>1603</v>
      </c>
      <c r="K392">
        <v>0</v>
      </c>
      <c r="L392">
        <v>1960</v>
      </c>
      <c r="M392">
        <f t="shared" si="18"/>
        <v>66</v>
      </c>
      <c r="N392" t="str">
        <v>Headquarters
600 Riverpark Drive 
North Reading, Massachusetts    01864
United States
Main Phone: 978 370 2700</v>
      </c>
      <c r="O392" t="str">
        <f t="shared" si="19"/>
        <v>0</v>
      </c>
      <c r="P392">
        <v>50102.6</v>
      </c>
      <c r="Q392">
        <v>49937.599999999999</v>
      </c>
      <c r="R392">
        <v>812</v>
      </c>
      <c r="S392" s="4">
        <f t="shared" si="20"/>
        <v>61.499507389162559</v>
      </c>
      <c r="T392">
        <v>3190</v>
      </c>
      <c r="U392" s="1">
        <v>0.2545</v>
      </c>
    </row>
    <row r="393" spans="1:21" x14ac:dyDescent="0.3">
      <c r="A393" t="s">
        <v>1604</v>
      </c>
      <c r="B393" t="s">
        <v>1605</v>
      </c>
      <c r="C393" t="s">
        <v>41</v>
      </c>
      <c r="D393" t="s">
        <v>1606</v>
      </c>
      <c r="E393" t="s">
        <v>22</v>
      </c>
      <c r="F393" t="s">
        <v>67</v>
      </c>
      <c r="G393" s="6">
        <v>0</v>
      </c>
      <c r="H393" s="6">
        <v>134785</v>
      </c>
      <c r="J393" t="s">
        <v>1607</v>
      </c>
      <c r="K393">
        <v>0</v>
      </c>
      <c r="L393">
        <v>2003</v>
      </c>
      <c r="M393">
        <f t="shared" si="18"/>
        <v>23</v>
      </c>
      <c r="N393" t="str">
        <v>Headquarters
1 Tesla Road 
Austin, Texas    78725
United States
Main Phone: 512 516 8177</v>
      </c>
      <c r="O393" t="str">
        <f t="shared" si="19"/>
        <v>0</v>
      </c>
      <c r="P393">
        <v>1510391.4</v>
      </c>
      <c r="Q393">
        <v>1481779.4</v>
      </c>
      <c r="R393">
        <v>10503</v>
      </c>
      <c r="S393" s="4">
        <f t="shared" si="20"/>
        <v>141.08153860801676</v>
      </c>
      <c r="T393">
        <v>94827</v>
      </c>
      <c r="U393" s="1">
        <v>0.1108</v>
      </c>
    </row>
    <row r="394" spans="1:21" x14ac:dyDescent="0.3">
      <c r="A394" t="s">
        <v>1608</v>
      </c>
      <c r="B394" t="s">
        <v>1609</v>
      </c>
      <c r="C394" t="s">
        <v>41</v>
      </c>
      <c r="D394" t="s">
        <v>1610</v>
      </c>
      <c r="E394" t="s">
        <v>22</v>
      </c>
      <c r="F394" t="s">
        <v>43</v>
      </c>
      <c r="G394" s="6">
        <v>0</v>
      </c>
      <c r="H394" s="6">
        <v>33000</v>
      </c>
      <c r="J394" t="s">
        <v>1611</v>
      </c>
      <c r="K394">
        <v>0</v>
      </c>
      <c r="L394">
        <v>1930</v>
      </c>
      <c r="M394">
        <f t="shared" si="18"/>
        <v>96</v>
      </c>
      <c r="N394" t="str">
        <v>Headquarters
12500 TI Boulevard 
Dallas, Texas    75243
United States
Main Phone: 214 479 3773</v>
      </c>
      <c r="O394" t="str">
        <f t="shared" si="19"/>
        <v>0</v>
      </c>
      <c r="P394">
        <v>192500.6</v>
      </c>
      <c r="Q394">
        <v>202398.6</v>
      </c>
      <c r="R394">
        <v>8044</v>
      </c>
      <c r="S394" s="4">
        <f t="shared" si="20"/>
        <v>25.161437095972154</v>
      </c>
      <c r="T394">
        <v>17682</v>
      </c>
      <c r="U394" s="1">
        <v>0.45490000000000003</v>
      </c>
    </row>
    <row r="395" spans="1:21" x14ac:dyDescent="0.3">
      <c r="A395" t="s">
        <v>1612</v>
      </c>
      <c r="B395" t="s">
        <v>1613</v>
      </c>
      <c r="C395" t="s">
        <v>20</v>
      </c>
      <c r="D395" t="s">
        <v>1614</v>
      </c>
      <c r="E395" t="s">
        <v>22</v>
      </c>
      <c r="F395" t="s">
        <v>153</v>
      </c>
      <c r="G395" s="6">
        <v>0</v>
      </c>
      <c r="H395" s="6">
        <v>114</v>
      </c>
      <c r="J395" t="s">
        <v>1615</v>
      </c>
      <c r="K395">
        <v>0</v>
      </c>
      <c r="L395">
        <v>1888</v>
      </c>
      <c r="M395">
        <f t="shared" si="18"/>
        <v>138</v>
      </c>
      <c r="N395" t="str">
        <v>Headquarters
2699 Howell Street
Suite 800 
Dallas, Texas    75204
United States
Main Phone: 214 969 5530</v>
      </c>
      <c r="O395" t="str">
        <f t="shared" si="19"/>
        <v>0</v>
      </c>
      <c r="P395">
        <v>36145.4</v>
      </c>
      <c r="Q395">
        <v>36018.300000000003</v>
      </c>
      <c r="R395">
        <v>655.6</v>
      </c>
      <c r="S395" s="4">
        <f t="shared" si="20"/>
        <v>54.939444783404518</v>
      </c>
      <c r="T395">
        <v>798.2</v>
      </c>
      <c r="U395" s="1">
        <v>0.82130000000000003</v>
      </c>
    </row>
    <row r="396" spans="1:21" x14ac:dyDescent="0.3">
      <c r="A396" t="s">
        <v>1616</v>
      </c>
      <c r="B396" t="s">
        <v>1617</v>
      </c>
      <c r="C396" t="s">
        <v>20</v>
      </c>
      <c r="D396" t="s">
        <v>1618</v>
      </c>
      <c r="E396" t="s">
        <v>22</v>
      </c>
      <c r="F396" t="s">
        <v>28</v>
      </c>
      <c r="G396" s="6">
        <v>0</v>
      </c>
      <c r="H396" s="6">
        <v>34000</v>
      </c>
      <c r="J396" t="s">
        <v>1619</v>
      </c>
      <c r="K396">
        <v>0</v>
      </c>
      <c r="L396">
        <v>1923</v>
      </c>
      <c r="M396">
        <f t="shared" si="18"/>
        <v>103</v>
      </c>
      <c r="N396" t="str">
        <v>Headquarters
40 Westminster Street 
Providence, Rhode Island    02903
United States
Main Phone: 401 421 2800</v>
      </c>
      <c r="O396" t="str">
        <f t="shared" si="19"/>
        <v>0</v>
      </c>
      <c r="P396">
        <v>17181.099999999999</v>
      </c>
      <c r="Q396">
        <v>19523.099999999999</v>
      </c>
      <c r="R396">
        <v>1650</v>
      </c>
      <c r="S396" s="4">
        <f t="shared" si="20"/>
        <v>11.832181818181818</v>
      </c>
      <c r="T396">
        <v>14799</v>
      </c>
      <c r="U396" s="1">
        <v>0.1115</v>
      </c>
    </row>
    <row r="397" spans="1:21" x14ac:dyDescent="0.3">
      <c r="A397" t="s">
        <v>1620</v>
      </c>
      <c r="B397" t="s">
        <v>1621</v>
      </c>
      <c r="C397" t="s">
        <v>20</v>
      </c>
      <c r="D397" t="s">
        <v>1622</v>
      </c>
      <c r="E397" t="s">
        <v>22</v>
      </c>
      <c r="F397" t="s">
        <v>89</v>
      </c>
      <c r="G397" s="6">
        <v>0</v>
      </c>
      <c r="H397" s="6">
        <v>9100</v>
      </c>
      <c r="J397" t="s">
        <v>1623</v>
      </c>
      <c r="K397">
        <v>0</v>
      </c>
      <c r="L397">
        <v>1981</v>
      </c>
      <c r="M397">
        <f t="shared" si="18"/>
        <v>45</v>
      </c>
      <c r="N397" t="str">
        <v>Headquarters
4300 Wilson Boulevard
11th Floor 
Arlington, Virginia    22203
United States
Main Phone: 703 522 1315</v>
      </c>
      <c r="O397" t="str">
        <f t="shared" si="19"/>
        <v>0</v>
      </c>
      <c r="P397">
        <v>12305.4</v>
      </c>
      <c r="Q397">
        <v>49107.4</v>
      </c>
      <c r="R397">
        <v>3206</v>
      </c>
      <c r="S397" s="4">
        <f t="shared" si="20"/>
        <v>15.317342482844667</v>
      </c>
      <c r="T397">
        <v>12094</v>
      </c>
      <c r="U397" s="1">
        <v>0.2651</v>
      </c>
    </row>
    <row r="398" spans="1:21" x14ac:dyDescent="0.3">
      <c r="A398" t="s">
        <v>1624</v>
      </c>
      <c r="B398" t="s">
        <v>1625</v>
      </c>
      <c r="C398" t="s">
        <v>20</v>
      </c>
      <c r="D398" t="s">
        <v>1626</v>
      </c>
      <c r="E398" t="s">
        <v>22</v>
      </c>
      <c r="F398" t="s">
        <v>53</v>
      </c>
      <c r="G398" s="6">
        <v>1</v>
      </c>
      <c r="H398" s="6">
        <v>53150</v>
      </c>
      <c r="J398" t="s">
        <v>1627</v>
      </c>
      <c r="K398">
        <v>0</v>
      </c>
      <c r="L398">
        <v>1931</v>
      </c>
      <c r="M398">
        <f t="shared" si="18"/>
        <v>95</v>
      </c>
      <c r="N398" t="str">
        <v>Headquarters
3100 Sanders Road 
Northbrook, Illinois    60062
United States
Main Phone: 847 402 2800</v>
      </c>
      <c r="O398" t="str">
        <f t="shared" si="19"/>
        <v>0</v>
      </c>
      <c r="P398">
        <v>55675.6</v>
      </c>
      <c r="Q398">
        <v>64652.6</v>
      </c>
      <c r="R398">
        <v>12495</v>
      </c>
      <c r="S398" s="4">
        <f t="shared" si="20"/>
        <v>5.174277711084434</v>
      </c>
      <c r="T398">
        <v>67685</v>
      </c>
      <c r="U398" s="1">
        <v>0.18459999999999999</v>
      </c>
    </row>
    <row r="399" spans="1:21" x14ac:dyDescent="0.3">
      <c r="A399" t="s">
        <v>1628</v>
      </c>
      <c r="B399" t="s">
        <v>1629</v>
      </c>
      <c r="C399" t="s">
        <v>20</v>
      </c>
      <c r="D399" t="s">
        <v>1630</v>
      </c>
      <c r="E399" t="s">
        <v>22</v>
      </c>
      <c r="F399" t="s">
        <v>53</v>
      </c>
      <c r="G399" s="6">
        <v>1</v>
      </c>
      <c r="H399" s="6">
        <v>48100</v>
      </c>
      <c r="J399" t="s">
        <v>1631</v>
      </c>
      <c r="K399">
        <v>0</v>
      </c>
      <c r="L399">
        <v>1784</v>
      </c>
      <c r="M399">
        <f t="shared" si="18"/>
        <v>242</v>
      </c>
      <c r="N399" t="str">
        <v>Headquarters
240 Greenwich Street 
New York, New York    10286
United States
Main Phone: 212 495 1784</v>
      </c>
      <c r="O399" t="str">
        <f t="shared" si="19"/>
        <v>0</v>
      </c>
      <c r="P399">
        <v>81810.7</v>
      </c>
      <c r="Q399" t="s">
        <v>91</v>
      </c>
      <c r="R399">
        <v>0</v>
      </c>
      <c r="S399" s="4" t="e">
        <f t="shared" si="20"/>
        <v>#VALUE!</v>
      </c>
      <c r="T399">
        <v>20004</v>
      </c>
      <c r="U399" s="1">
        <v>0</v>
      </c>
    </row>
    <row r="400" spans="1:21" x14ac:dyDescent="0.3">
      <c r="A400" t="s">
        <v>1632</v>
      </c>
      <c r="B400" t="s">
        <v>1633</v>
      </c>
      <c r="C400" t="s">
        <v>20</v>
      </c>
      <c r="D400" t="s">
        <v>1634</v>
      </c>
      <c r="E400" t="s">
        <v>22</v>
      </c>
      <c r="F400" t="s">
        <v>28</v>
      </c>
      <c r="G400" s="6">
        <v>0</v>
      </c>
      <c r="H400" s="6">
        <v>182000</v>
      </c>
      <c r="J400" t="s">
        <v>1635</v>
      </c>
      <c r="K400">
        <v>0</v>
      </c>
      <c r="L400">
        <v>1916</v>
      </c>
      <c r="M400">
        <f t="shared" si="18"/>
        <v>110</v>
      </c>
      <c r="N400" t="str">
        <v>Headquarters
929 Long Bridge Drive 
Arlington, Virginia    22202-4208
United States
Main Phone: 703-465-3500</v>
      </c>
      <c r="O400" t="str">
        <f t="shared" si="19"/>
        <v>0</v>
      </c>
      <c r="P400">
        <v>178690</v>
      </c>
      <c r="Q400">
        <v>206406</v>
      </c>
      <c r="R400">
        <v>-3238</v>
      </c>
      <c r="S400" s="4">
        <f t="shared" si="20"/>
        <v>-63.744904261890056</v>
      </c>
      <c r="T400">
        <v>89463</v>
      </c>
      <c r="U400" s="1">
        <v>-3.6200000000000003E-2</v>
      </c>
    </row>
    <row r="401" spans="1:21" x14ac:dyDescent="0.3">
      <c r="A401" t="s">
        <v>1636</v>
      </c>
      <c r="B401" t="s">
        <v>1637</v>
      </c>
      <c r="C401" t="s">
        <v>41</v>
      </c>
      <c r="D401" t="s">
        <v>1638</v>
      </c>
      <c r="E401" t="s">
        <v>22</v>
      </c>
      <c r="F401" t="s">
        <v>100</v>
      </c>
      <c r="G401" s="6">
        <v>0</v>
      </c>
      <c r="H401" s="6">
        <v>13700</v>
      </c>
      <c r="J401" t="s">
        <v>1639</v>
      </c>
      <c r="K401">
        <v>0</v>
      </c>
      <c r="L401">
        <v>1869</v>
      </c>
      <c r="M401">
        <f t="shared" si="18"/>
        <v>157</v>
      </c>
      <c r="N401" t="str">
        <v>Headquarters
1 Campbell Place 
Camden, New Jersey    08103-1799
United States
Main Phone: 856 342 4800</v>
      </c>
      <c r="O401" t="str">
        <f t="shared" si="19"/>
        <v>0</v>
      </c>
      <c r="P401">
        <v>8034.7</v>
      </c>
      <c r="Q401">
        <v>15175.7</v>
      </c>
      <c r="R401">
        <v>1834</v>
      </c>
      <c r="S401" s="4">
        <f t="shared" si="20"/>
        <v>8.2746455834242099</v>
      </c>
      <c r="T401">
        <v>10158</v>
      </c>
      <c r="U401" s="1">
        <v>0.18049999999999999</v>
      </c>
    </row>
    <row r="402" spans="1:21" x14ac:dyDescent="0.3">
      <c r="A402" t="s">
        <v>1640</v>
      </c>
      <c r="B402" t="s">
        <v>1641</v>
      </c>
      <c r="C402" t="s">
        <v>20</v>
      </c>
      <c r="D402" t="s">
        <v>1642</v>
      </c>
      <c r="E402" t="s">
        <v>22</v>
      </c>
      <c r="F402" t="s">
        <v>53</v>
      </c>
      <c r="G402" s="6">
        <v>1</v>
      </c>
      <c r="H402" s="6">
        <v>33000</v>
      </c>
      <c r="J402" t="s">
        <v>1643</v>
      </c>
      <c r="K402">
        <v>0</v>
      </c>
      <c r="L402">
        <v>1971</v>
      </c>
      <c r="M402">
        <f t="shared" si="18"/>
        <v>55</v>
      </c>
      <c r="N402" t="str">
        <v>Headquarters
3000 Schwab Way 
Westlake, Texas    76262
United States
Main Phone: 817 859 5000</v>
      </c>
      <c r="O402" t="str">
        <f t="shared" si="19"/>
        <v>0</v>
      </c>
      <c r="P402">
        <v>166810.4</v>
      </c>
      <c r="Q402" t="s">
        <v>91</v>
      </c>
      <c r="R402">
        <v>0</v>
      </c>
      <c r="S402" s="4" t="e">
        <f t="shared" si="20"/>
        <v>#VALUE!</v>
      </c>
      <c r="T402">
        <v>23921</v>
      </c>
      <c r="U402" s="1">
        <v>0</v>
      </c>
    </row>
    <row r="403" spans="1:21" x14ac:dyDescent="0.3">
      <c r="A403" t="s">
        <v>1644</v>
      </c>
      <c r="B403" t="s">
        <v>1645</v>
      </c>
      <c r="C403" t="s">
        <v>20</v>
      </c>
      <c r="D403" t="s">
        <v>1646</v>
      </c>
      <c r="E403" t="s">
        <v>22</v>
      </c>
      <c r="F403" t="s">
        <v>33</v>
      </c>
      <c r="G403" s="6">
        <v>0</v>
      </c>
      <c r="H403" s="6">
        <v>66685</v>
      </c>
      <c r="J403" t="s">
        <v>1647</v>
      </c>
      <c r="K403">
        <v>0</v>
      </c>
      <c r="L403">
        <v>1792</v>
      </c>
      <c r="M403">
        <f t="shared" si="18"/>
        <v>234</v>
      </c>
      <c r="N403" t="str">
        <v>Headquarters
900 Cottage Grove Road 
Bloomfield, Connecticut    06002
United States
Main Phone: 860 226 6000</v>
      </c>
      <c r="O403" t="str">
        <f t="shared" si="19"/>
        <v>0</v>
      </c>
      <c r="P403">
        <v>76375.8</v>
      </c>
      <c r="Q403">
        <v>99267.8</v>
      </c>
      <c r="R403">
        <v>12047</v>
      </c>
      <c r="S403" s="4">
        <f t="shared" si="20"/>
        <v>8.2400431642732634</v>
      </c>
      <c r="T403">
        <v>274900</v>
      </c>
      <c r="U403" s="1">
        <v>4.3799999999999999E-2</v>
      </c>
    </row>
    <row r="404" spans="1:21" x14ac:dyDescent="0.3">
      <c r="A404" t="s">
        <v>1648</v>
      </c>
      <c r="B404" t="s">
        <v>1649</v>
      </c>
      <c r="C404" t="s">
        <v>20</v>
      </c>
      <c r="D404" t="s">
        <v>1650</v>
      </c>
      <c r="E404" t="s">
        <v>22</v>
      </c>
      <c r="F404" t="s">
        <v>100</v>
      </c>
      <c r="G404" s="6">
        <v>0</v>
      </c>
      <c r="H404" s="6">
        <v>7600</v>
      </c>
      <c r="I404" t="s">
        <v>1651</v>
      </c>
      <c r="J404" t="s">
        <v>1651</v>
      </c>
      <c r="K404">
        <v>1</v>
      </c>
      <c r="L404">
        <v>1913</v>
      </c>
      <c r="M404">
        <f t="shared" si="18"/>
        <v>113</v>
      </c>
      <c r="N404" t="str">
        <v>Headquarters
1221 Broadway 
Oakland, California    94612-1888
United States
Main Phone: 510 271 7000</v>
      </c>
      <c r="O404" t="str">
        <f t="shared" si="19"/>
        <v>1</v>
      </c>
      <c r="P404">
        <v>15375.2</v>
      </c>
      <c r="Q404">
        <v>18525.2</v>
      </c>
      <c r="R404">
        <v>1228</v>
      </c>
      <c r="S404" s="4">
        <f t="shared" si="20"/>
        <v>15.085667752442998</v>
      </c>
      <c r="T404">
        <v>6758</v>
      </c>
      <c r="U404" s="1">
        <v>0.1817</v>
      </c>
    </row>
    <row r="405" spans="1:21" x14ac:dyDescent="0.3">
      <c r="A405" t="s">
        <v>1652</v>
      </c>
      <c r="B405" t="s">
        <v>1653</v>
      </c>
      <c r="C405" t="s">
        <v>20</v>
      </c>
      <c r="D405" t="s">
        <v>1654</v>
      </c>
      <c r="E405" t="s">
        <v>22</v>
      </c>
      <c r="F405" t="s">
        <v>100</v>
      </c>
      <c r="G405" s="6">
        <v>0</v>
      </c>
      <c r="H405" s="6">
        <v>65900</v>
      </c>
      <c r="J405" t="s">
        <v>1655</v>
      </c>
      <c r="K405">
        <v>0</v>
      </c>
      <c r="L405">
        <v>1886</v>
      </c>
      <c r="M405">
        <f t="shared" si="18"/>
        <v>140</v>
      </c>
      <c r="N405" t="str">
        <v>Headquarters
One Coca-Cola Plaza 
Atlanta, Georgia    30313
United States
Main Phone: 404 676 2121</v>
      </c>
      <c r="O405" t="str">
        <f t="shared" si="19"/>
        <v>0</v>
      </c>
      <c r="P405">
        <v>350767</v>
      </c>
      <c r="Q405">
        <v>384981</v>
      </c>
      <c r="R405">
        <v>16078</v>
      </c>
      <c r="S405" s="4">
        <f t="shared" si="20"/>
        <v>23.944582659534767</v>
      </c>
      <c r="T405">
        <v>47941</v>
      </c>
      <c r="U405" s="1">
        <v>0.33539999999999998</v>
      </c>
    </row>
    <row r="406" spans="1:21" x14ac:dyDescent="0.3">
      <c r="A406" t="s">
        <v>1656</v>
      </c>
      <c r="B406" t="s">
        <v>1657</v>
      </c>
      <c r="C406" t="s">
        <v>41</v>
      </c>
      <c r="D406" t="s">
        <v>1658</v>
      </c>
      <c r="E406" t="s">
        <v>22</v>
      </c>
      <c r="F406" t="s">
        <v>33</v>
      </c>
      <c r="G406" s="6">
        <v>0</v>
      </c>
      <c r="H406" s="6">
        <v>15000</v>
      </c>
      <c r="J406" t="s">
        <v>1659</v>
      </c>
      <c r="K406">
        <v>0</v>
      </c>
      <c r="L406">
        <v>1958</v>
      </c>
      <c r="M406">
        <f t="shared" si="18"/>
        <v>68</v>
      </c>
      <c r="N406" t="str">
        <v>Headquarters
6101 Bollinger Canyon Road
Suite 500 
San Ramon, California    94583
United States
Main Phone: 925 460 3600</v>
      </c>
      <c r="O406" t="str">
        <f t="shared" si="19"/>
        <v>1</v>
      </c>
      <c r="P406">
        <v>16325.2</v>
      </c>
      <c r="Q406">
        <v>18998.400000000001</v>
      </c>
      <c r="R406">
        <v>1064.0999999999999</v>
      </c>
      <c r="S406" s="4">
        <f t="shared" si="20"/>
        <v>17.853961093882155</v>
      </c>
      <c r="T406">
        <v>4092.4</v>
      </c>
      <c r="U406" s="1">
        <v>0.26</v>
      </c>
    </row>
    <row r="407" spans="1:21" x14ac:dyDescent="0.3">
      <c r="A407" t="s">
        <v>1660</v>
      </c>
      <c r="B407" t="s">
        <v>1661</v>
      </c>
      <c r="C407" t="s">
        <v>20</v>
      </c>
      <c r="D407" t="s">
        <v>1662</v>
      </c>
      <c r="E407" t="s">
        <v>22</v>
      </c>
      <c r="F407" t="s">
        <v>100</v>
      </c>
      <c r="G407" s="6">
        <v>0</v>
      </c>
      <c r="H407" s="6">
        <v>44460</v>
      </c>
      <c r="J407" t="s">
        <v>1663</v>
      </c>
      <c r="K407">
        <v>0</v>
      </c>
      <c r="L407">
        <v>1946</v>
      </c>
      <c r="M407">
        <f t="shared" si="18"/>
        <v>80</v>
      </c>
      <c r="N407" t="str">
        <v/>
      </c>
      <c r="O407" t="str">
        <f t="shared" si="19"/>
        <v>0</v>
      </c>
      <c r="P407">
        <v>39598.300000000003</v>
      </c>
      <c r="Q407">
        <v>45906.3</v>
      </c>
      <c r="R407">
        <v>2205</v>
      </c>
      <c r="S407" s="4">
        <f t="shared" si="20"/>
        <v>20.819183673469389</v>
      </c>
      <c r="T407">
        <v>14671</v>
      </c>
      <c r="U407" s="1">
        <v>0.15029999999999999</v>
      </c>
    </row>
    <row r="408" spans="1:21" x14ac:dyDescent="0.3">
      <c r="A408" t="s">
        <v>1664</v>
      </c>
      <c r="B408" t="s">
        <v>1665</v>
      </c>
      <c r="C408" t="s">
        <v>20</v>
      </c>
      <c r="D408" t="s">
        <v>1666</v>
      </c>
      <c r="E408" t="s">
        <v>22</v>
      </c>
      <c r="F408" t="s">
        <v>53</v>
      </c>
      <c r="G408" s="6">
        <v>1</v>
      </c>
      <c r="H408" s="6">
        <v>47400</v>
      </c>
      <c r="J408" t="s">
        <v>1667</v>
      </c>
      <c r="K408">
        <v>0</v>
      </c>
      <c r="L408">
        <v>1869</v>
      </c>
      <c r="M408">
        <f t="shared" si="18"/>
        <v>157</v>
      </c>
      <c r="N408" t="str">
        <v>Headquarters
200 West Street 
New York, New York    10282
United States
Main Phone: 212 902 1000</v>
      </c>
      <c r="O408" t="str">
        <f t="shared" si="19"/>
        <v>0</v>
      </c>
      <c r="P408">
        <v>265045.7</v>
      </c>
      <c r="Q408" t="s">
        <v>91</v>
      </c>
      <c r="R408">
        <v>0</v>
      </c>
      <c r="S408" s="4" t="e">
        <f t="shared" si="20"/>
        <v>#VALUE!</v>
      </c>
      <c r="T408">
        <v>59396</v>
      </c>
      <c r="U408" s="1">
        <v>0</v>
      </c>
    </row>
    <row r="409" spans="1:21" x14ac:dyDescent="0.3">
      <c r="A409" t="s">
        <v>1668</v>
      </c>
      <c r="B409" t="s">
        <v>1669</v>
      </c>
      <c r="C409" t="s">
        <v>20</v>
      </c>
      <c r="D409" t="s">
        <v>1670</v>
      </c>
      <c r="E409" t="s">
        <v>22</v>
      </c>
      <c r="F409" t="s">
        <v>53</v>
      </c>
      <c r="G409" s="6">
        <v>1</v>
      </c>
      <c r="H409" s="6">
        <v>19200</v>
      </c>
      <c r="J409" t="s">
        <v>1671</v>
      </c>
      <c r="K409">
        <v>0</v>
      </c>
      <c r="L409">
        <v>1810</v>
      </c>
      <c r="M409">
        <f t="shared" si="18"/>
        <v>216</v>
      </c>
      <c r="N409" t="str">
        <v>Headquarters
One Hartford Plaza 
Hartford, Connecticut    06155
United States
Main Phone: (860) 547-5000</v>
      </c>
      <c r="O409" t="str">
        <f t="shared" si="19"/>
        <v>0</v>
      </c>
      <c r="P409">
        <v>38849.800000000003</v>
      </c>
      <c r="Q409">
        <v>43593.8</v>
      </c>
      <c r="R409">
        <v>5232</v>
      </c>
      <c r="S409" s="4">
        <f t="shared" si="20"/>
        <v>8.3321483180428135</v>
      </c>
      <c r="T409">
        <v>28376</v>
      </c>
      <c r="U409" s="1">
        <v>0.18440000000000001</v>
      </c>
    </row>
    <row r="410" spans="1:21" x14ac:dyDescent="0.3">
      <c r="A410" t="s">
        <v>1672</v>
      </c>
      <c r="B410" t="s">
        <v>1673</v>
      </c>
      <c r="C410" t="s">
        <v>20</v>
      </c>
      <c r="D410" t="s">
        <v>1674</v>
      </c>
      <c r="E410" t="s">
        <v>22</v>
      </c>
      <c r="F410" t="s">
        <v>100</v>
      </c>
      <c r="G410" s="6">
        <v>0</v>
      </c>
      <c r="H410" s="6">
        <v>18573</v>
      </c>
      <c r="I410" t="s">
        <v>1675</v>
      </c>
      <c r="J410" t="s">
        <v>1675</v>
      </c>
      <c r="K410">
        <v>1</v>
      </c>
      <c r="L410">
        <v>1894</v>
      </c>
      <c r="M410">
        <f t="shared" si="18"/>
        <v>132</v>
      </c>
      <c r="N410" t="str">
        <v>Headquarters
19 East Chocolate Avenue 
Hershey, Pennsylvania    17033
United States
Main Phone: 717 534 4200
Main Fax: 717 534 7464</v>
      </c>
      <c r="O410" t="str">
        <f t="shared" si="19"/>
        <v>0</v>
      </c>
      <c r="P410">
        <v>47891.8</v>
      </c>
      <c r="Q410">
        <v>52704.5</v>
      </c>
      <c r="R410">
        <v>1975.1</v>
      </c>
      <c r="S410" s="4">
        <f t="shared" si="20"/>
        <v>26.684471672320392</v>
      </c>
      <c r="T410">
        <v>11692.6</v>
      </c>
      <c r="U410" s="1">
        <v>0.16889999999999999</v>
      </c>
    </row>
    <row r="411" spans="1:21" x14ac:dyDescent="0.3">
      <c r="A411" t="s">
        <v>1676</v>
      </c>
      <c r="B411" t="s">
        <v>1677</v>
      </c>
      <c r="C411" t="s">
        <v>20</v>
      </c>
      <c r="D411" t="s">
        <v>1678</v>
      </c>
      <c r="E411" t="s">
        <v>22</v>
      </c>
      <c r="F411" t="s">
        <v>67</v>
      </c>
      <c r="G411" s="6">
        <v>0</v>
      </c>
      <c r="H411" s="6">
        <v>470000</v>
      </c>
      <c r="J411" t="s">
        <v>1679</v>
      </c>
      <c r="K411">
        <v>0</v>
      </c>
      <c r="L411">
        <v>1978</v>
      </c>
      <c r="M411">
        <f t="shared" si="18"/>
        <v>48</v>
      </c>
      <c r="N411" t="str">
        <v>Headquarters
2455 Paces Ferry Road 
Atlanta, Georgia    30339
United States
Main Phone: 770 433 8211</v>
      </c>
      <c r="O411" t="str">
        <f t="shared" si="19"/>
        <v>0</v>
      </c>
      <c r="P411">
        <v>379011.1</v>
      </c>
      <c r="Q411">
        <v>442972.1</v>
      </c>
      <c r="R411">
        <v>25011</v>
      </c>
      <c r="S411" s="4">
        <f t="shared" si="20"/>
        <v>17.711091119907241</v>
      </c>
      <c r="T411">
        <v>164683</v>
      </c>
      <c r="U411" s="1">
        <v>0.15190000000000001</v>
      </c>
    </row>
    <row r="412" spans="1:21" x14ac:dyDescent="0.3">
      <c r="A412" t="s">
        <v>1680</v>
      </c>
      <c r="B412" t="s">
        <v>1681</v>
      </c>
      <c r="C412" t="s">
        <v>20</v>
      </c>
      <c r="D412" t="s">
        <v>1682</v>
      </c>
      <c r="E412" t="s">
        <v>22</v>
      </c>
      <c r="F412" t="s">
        <v>100</v>
      </c>
      <c r="G412" s="6">
        <v>0</v>
      </c>
      <c r="H412" s="6">
        <v>8000</v>
      </c>
      <c r="J412" t="s">
        <v>1683</v>
      </c>
      <c r="K412">
        <v>0</v>
      </c>
      <c r="L412">
        <v>1897</v>
      </c>
      <c r="M412">
        <f t="shared" si="18"/>
        <v>129</v>
      </c>
      <c r="N412" t="str">
        <v>Headquarters
One Strawberry Lane 
Orrville, Ohio    44667-0280
United States
Main Phone: 330 682 3000</v>
      </c>
      <c r="O412" t="str">
        <f t="shared" si="19"/>
        <v>0</v>
      </c>
      <c r="P412">
        <v>12365.9</v>
      </c>
      <c r="Q412">
        <v>19811.400000000001</v>
      </c>
      <c r="R412">
        <v>1879.2</v>
      </c>
      <c r="S412" s="4">
        <f t="shared" si="20"/>
        <v>10.542464878671776</v>
      </c>
      <c r="T412">
        <v>8926.6</v>
      </c>
      <c r="U412" s="1">
        <v>0.21049999999999999</v>
      </c>
    </row>
    <row r="413" spans="1:21" x14ac:dyDescent="0.3">
      <c r="A413" t="s">
        <v>1684</v>
      </c>
      <c r="B413" t="s">
        <v>1685</v>
      </c>
      <c r="C413" t="s">
        <v>41</v>
      </c>
      <c r="D413" t="s">
        <v>1686</v>
      </c>
      <c r="E413" t="s">
        <v>22</v>
      </c>
      <c r="F413" t="s">
        <v>100</v>
      </c>
      <c r="G413" s="6">
        <v>0</v>
      </c>
      <c r="H413" s="6">
        <v>35000</v>
      </c>
      <c r="J413" t="s">
        <v>1687</v>
      </c>
      <c r="K413">
        <v>0</v>
      </c>
      <c r="L413">
        <v>1869</v>
      </c>
      <c r="M413">
        <f t="shared" si="18"/>
        <v>157</v>
      </c>
      <c r="N413" t="str">
        <v>Headquarters
One PPG Place 
Pittsburgh, Pennsylvania    15222
United States
Main Phone: 412 456 5700</v>
      </c>
      <c r="O413" t="str">
        <f t="shared" si="19"/>
        <v>0</v>
      </c>
      <c r="P413">
        <v>29132</v>
      </c>
      <c r="Q413">
        <v>47354</v>
      </c>
      <c r="R413">
        <v>5727</v>
      </c>
      <c r="S413" s="4">
        <f t="shared" si="20"/>
        <v>8.2685524707525762</v>
      </c>
      <c r="T413">
        <v>24942</v>
      </c>
      <c r="U413" s="1">
        <v>0.2296</v>
      </c>
    </row>
    <row r="414" spans="1:21" x14ac:dyDescent="0.3">
      <c r="A414" t="s">
        <v>1688</v>
      </c>
      <c r="B414" t="s">
        <v>1689</v>
      </c>
      <c r="C414" t="s">
        <v>20</v>
      </c>
      <c r="D414" t="s">
        <v>1690</v>
      </c>
      <c r="E414" t="s">
        <v>22</v>
      </c>
      <c r="F414" t="s">
        <v>100</v>
      </c>
      <c r="G414" s="6">
        <v>0</v>
      </c>
      <c r="H414" s="6">
        <v>409000</v>
      </c>
      <c r="J414" t="s">
        <v>1691</v>
      </c>
      <c r="K414">
        <v>0</v>
      </c>
      <c r="L414">
        <v>1883</v>
      </c>
      <c r="M414">
        <f t="shared" si="18"/>
        <v>143</v>
      </c>
      <c r="N414" t="str">
        <v>Headquarters
1014 Vine Street 
Cincinnati, Ohio    45202-1100
United States
Main Phone: 513 762 4000</v>
      </c>
      <c r="O414" t="str">
        <f t="shared" si="19"/>
        <v>0</v>
      </c>
      <c r="P414">
        <v>43185.599999999999</v>
      </c>
      <c r="Q414">
        <v>64425.599999999999</v>
      </c>
      <c r="R414">
        <v>8129</v>
      </c>
      <c r="S414" s="4">
        <f t="shared" si="20"/>
        <v>7.925402878582851</v>
      </c>
      <c r="T414">
        <v>147225</v>
      </c>
      <c r="U414" s="1">
        <v>5.5199999999999999E-2</v>
      </c>
    </row>
    <row r="415" spans="1:21" x14ac:dyDescent="0.3">
      <c r="A415" t="s">
        <v>1692</v>
      </c>
      <c r="B415" t="s">
        <v>1693</v>
      </c>
      <c r="C415" t="s">
        <v>20</v>
      </c>
      <c r="D415" t="s">
        <v>1694</v>
      </c>
      <c r="E415" t="s">
        <v>22</v>
      </c>
      <c r="F415" t="s">
        <v>62</v>
      </c>
      <c r="G415" s="6">
        <v>0</v>
      </c>
      <c r="H415" s="6">
        <v>13000</v>
      </c>
      <c r="J415" t="s">
        <v>1695</v>
      </c>
      <c r="K415">
        <v>0</v>
      </c>
      <c r="L415">
        <v>1987</v>
      </c>
      <c r="M415">
        <f t="shared" si="18"/>
        <v>39</v>
      </c>
      <c r="N415" t="str">
        <v>Headquarters
101 East Kennedy Blvd
Suite 2500 
Tampa, Florida    33602
United States
Main Phone: 800 918 8270</v>
      </c>
      <c r="O415" t="str">
        <f t="shared" si="19"/>
        <v>0</v>
      </c>
      <c r="P415">
        <v>8839.2999999999993</v>
      </c>
      <c r="Q415">
        <v>13991.5</v>
      </c>
      <c r="R415">
        <v>2258.3000000000002</v>
      </c>
      <c r="S415" s="4">
        <f t="shared" si="20"/>
        <v>6.1955896027985649</v>
      </c>
      <c r="T415">
        <v>12052.4</v>
      </c>
      <c r="U415" s="1">
        <v>0.18740000000000001</v>
      </c>
    </row>
    <row r="416" spans="1:21" x14ac:dyDescent="0.3">
      <c r="A416" t="s">
        <v>1696</v>
      </c>
      <c r="B416" t="s">
        <v>1697</v>
      </c>
      <c r="C416" t="s">
        <v>20</v>
      </c>
      <c r="D416" t="s">
        <v>1698</v>
      </c>
      <c r="E416" t="s">
        <v>22</v>
      </c>
      <c r="F416" t="s">
        <v>53</v>
      </c>
      <c r="G416" s="6">
        <v>1</v>
      </c>
      <c r="H416" s="6">
        <v>54596</v>
      </c>
      <c r="J416" t="s">
        <v>1699</v>
      </c>
      <c r="K416">
        <v>0</v>
      </c>
      <c r="L416">
        <v>1865</v>
      </c>
      <c r="M416">
        <f t="shared" si="18"/>
        <v>161</v>
      </c>
      <c r="N416" t="str">
        <v>Headquarters
The Tower at PNC Plaza
300 Fifth Avenue 
Pittsburgh, Pennsylvania    15222-2401
United States
Main Phone: 888 762 2265</v>
      </c>
      <c r="O416" t="str">
        <f t="shared" si="19"/>
        <v>0</v>
      </c>
      <c r="P416">
        <v>85655.8</v>
      </c>
      <c r="Q416" t="s">
        <v>91</v>
      </c>
      <c r="R416">
        <v>0</v>
      </c>
      <c r="S416" s="4" t="e">
        <f t="shared" si="20"/>
        <v>#VALUE!</v>
      </c>
      <c r="T416">
        <v>22320</v>
      </c>
      <c r="U416" s="1">
        <v>0</v>
      </c>
    </row>
    <row r="417" spans="1:21" x14ac:dyDescent="0.3">
      <c r="A417" t="s">
        <v>1700</v>
      </c>
      <c r="B417" t="s">
        <v>1701</v>
      </c>
      <c r="C417" t="s">
        <v>20</v>
      </c>
      <c r="D417" t="s">
        <v>1702</v>
      </c>
      <c r="E417" t="s">
        <v>22</v>
      </c>
      <c r="F417" t="s">
        <v>100</v>
      </c>
      <c r="G417" s="6">
        <v>0</v>
      </c>
      <c r="H417" s="6">
        <v>109000</v>
      </c>
      <c r="J417" t="s">
        <v>1703</v>
      </c>
      <c r="K417">
        <v>0</v>
      </c>
      <c r="L417">
        <v>1837</v>
      </c>
      <c r="M417">
        <f t="shared" si="18"/>
        <v>189</v>
      </c>
      <c r="N417" t="str">
        <v>Headquarters
One Procter &amp; Gamble Plaza 
Cincinnati, Ohio    45202
United States
Main Phone: 513 983 1100</v>
      </c>
      <c r="O417" t="str">
        <f t="shared" si="19"/>
        <v>0</v>
      </c>
      <c r="P417">
        <v>388572.9</v>
      </c>
      <c r="Q417">
        <v>415429.9</v>
      </c>
      <c r="R417">
        <v>24765</v>
      </c>
      <c r="S417" s="4">
        <f t="shared" si="20"/>
        <v>16.774879870785384</v>
      </c>
      <c r="T417">
        <v>85259</v>
      </c>
      <c r="U417" s="1">
        <v>0.29049999999999998</v>
      </c>
    </row>
    <row r="418" spans="1:21" x14ac:dyDescent="0.3">
      <c r="A418" t="s">
        <v>1704</v>
      </c>
      <c r="B418" t="s">
        <v>1705</v>
      </c>
      <c r="C418" t="s">
        <v>20</v>
      </c>
      <c r="D418" t="s">
        <v>1706</v>
      </c>
      <c r="E418" t="s">
        <v>22</v>
      </c>
      <c r="F418" t="s">
        <v>53</v>
      </c>
      <c r="G418" s="6">
        <v>1</v>
      </c>
      <c r="H418" s="6">
        <v>66308</v>
      </c>
      <c r="I418" t="s">
        <v>1707</v>
      </c>
      <c r="J418" t="s">
        <v>1707</v>
      </c>
      <c r="K418">
        <v>1</v>
      </c>
      <c r="L418">
        <v>1937</v>
      </c>
      <c r="M418">
        <f t="shared" si="18"/>
        <v>89</v>
      </c>
      <c r="N418" t="str">
        <v>Headquarters
300 North Commons Blvd. 
Mayfield, Ohio    44143
United States
Main Phone: 440 461 5000</v>
      </c>
      <c r="O418" t="str">
        <f t="shared" si="19"/>
        <v>0</v>
      </c>
      <c r="P418">
        <v>125226.1</v>
      </c>
      <c r="Q418">
        <v>132123.1</v>
      </c>
      <c r="R418">
        <v>14807.7</v>
      </c>
      <c r="S418" s="4">
        <f t="shared" si="20"/>
        <v>8.9225943259250258</v>
      </c>
      <c r="T418">
        <v>87637</v>
      </c>
      <c r="U418" s="1">
        <v>0.16900000000000001</v>
      </c>
    </row>
    <row r="419" spans="1:21" x14ac:dyDescent="0.3">
      <c r="A419" t="s">
        <v>1708</v>
      </c>
      <c r="B419" t="s">
        <v>1709</v>
      </c>
      <c r="C419" t="s">
        <v>20</v>
      </c>
      <c r="D419" t="s">
        <v>1710</v>
      </c>
      <c r="E419" t="s">
        <v>22</v>
      </c>
      <c r="F419" t="s">
        <v>62</v>
      </c>
      <c r="G419" s="6">
        <v>0</v>
      </c>
      <c r="H419" s="6">
        <v>64249</v>
      </c>
      <c r="I419" t="s">
        <v>1711</v>
      </c>
      <c r="J419" t="s">
        <v>1711</v>
      </c>
      <c r="K419">
        <v>1</v>
      </c>
      <c r="L419">
        <v>1866</v>
      </c>
      <c r="M419">
        <f t="shared" si="18"/>
        <v>160</v>
      </c>
      <c r="N419" t="str">
        <v>Headquarters
1 Sherwin Way 
Cleveland, Ohio    44113-2206
United States
Main Phone: 216 566 2000</v>
      </c>
      <c r="O419" t="str">
        <f t="shared" si="19"/>
        <v>0</v>
      </c>
      <c r="P419">
        <v>89323.3</v>
      </c>
      <c r="Q419">
        <v>103189.7</v>
      </c>
      <c r="R419">
        <v>4486.6000000000004</v>
      </c>
      <c r="S419" s="4">
        <f t="shared" si="20"/>
        <v>22.999531939553336</v>
      </c>
      <c r="T419">
        <v>23574.3</v>
      </c>
      <c r="U419" s="1">
        <v>0.1903</v>
      </c>
    </row>
    <row r="420" spans="1:21" x14ac:dyDescent="0.3">
      <c r="A420" t="s">
        <v>1712</v>
      </c>
      <c r="B420" t="s">
        <v>1713</v>
      </c>
      <c r="C420" t="s">
        <v>20</v>
      </c>
      <c r="D420" t="s">
        <v>1714</v>
      </c>
      <c r="E420" t="s">
        <v>22</v>
      </c>
      <c r="F420" t="s">
        <v>89</v>
      </c>
      <c r="G420" s="6">
        <v>0</v>
      </c>
      <c r="H420" s="6">
        <v>29651</v>
      </c>
      <c r="J420" t="s">
        <v>1715</v>
      </c>
      <c r="K420">
        <v>0</v>
      </c>
      <c r="L420">
        <v>1945</v>
      </c>
      <c r="M420">
        <f t="shared" si="18"/>
        <v>81</v>
      </c>
      <c r="N420" t="str">
        <v>Headquarters
30 Ivan Allen Jr. Boulevard, NW 
Atlanta, Georgia    30308
United States
Main Phone: 404 506 5000</v>
      </c>
      <c r="O420" t="str">
        <f t="shared" si="19"/>
        <v>0</v>
      </c>
      <c r="P420">
        <v>109006.3</v>
      </c>
      <c r="Q420">
        <v>184293.3</v>
      </c>
      <c r="R420">
        <v>13927</v>
      </c>
      <c r="S420" s="4">
        <f t="shared" si="20"/>
        <v>13.232806778200617</v>
      </c>
      <c r="T420">
        <v>29553</v>
      </c>
      <c r="U420" s="1">
        <v>0.4713</v>
      </c>
    </row>
    <row r="421" spans="1:21" x14ac:dyDescent="0.3">
      <c r="A421" t="s">
        <v>1716</v>
      </c>
      <c r="B421" t="s">
        <v>1717</v>
      </c>
      <c r="C421" t="s">
        <v>20</v>
      </c>
      <c r="D421" t="s">
        <v>1718</v>
      </c>
      <c r="E421" t="s">
        <v>22</v>
      </c>
      <c r="F421" t="s">
        <v>67</v>
      </c>
      <c r="G421" s="6">
        <v>0</v>
      </c>
      <c r="H421" s="6">
        <v>364000</v>
      </c>
      <c r="J421" t="s">
        <v>1719</v>
      </c>
      <c r="K421">
        <v>0</v>
      </c>
      <c r="L421">
        <v>1962</v>
      </c>
      <c r="M421">
        <f t="shared" si="18"/>
        <v>64</v>
      </c>
      <c r="N421" t="str">
        <v>Headquarters
770 Cochituate Road 
Framingham, Massachusetts    01701
United States
Main Phone: 508 390 1000</v>
      </c>
      <c r="O421" t="str">
        <f t="shared" si="19"/>
        <v>0</v>
      </c>
      <c r="P421">
        <v>179518.1</v>
      </c>
      <c r="Q421">
        <v>186777.1</v>
      </c>
      <c r="R421">
        <v>8425</v>
      </c>
      <c r="S421" s="4">
        <f t="shared" si="20"/>
        <v>22.16938872403561</v>
      </c>
      <c r="T421">
        <v>60372</v>
      </c>
      <c r="U421" s="1">
        <v>0.1396</v>
      </c>
    </row>
    <row r="422" spans="1:21" x14ac:dyDescent="0.3">
      <c r="A422" t="s">
        <v>1720</v>
      </c>
      <c r="B422" t="s">
        <v>1721</v>
      </c>
      <c r="C422" t="s">
        <v>1722</v>
      </c>
      <c r="D422" t="s">
        <v>1723</v>
      </c>
      <c r="E422" t="s">
        <v>22</v>
      </c>
      <c r="F422" t="s">
        <v>95</v>
      </c>
      <c r="G422" s="6">
        <v>0</v>
      </c>
      <c r="H422" s="6">
        <v>3522</v>
      </c>
      <c r="J422" t="s">
        <v>1724</v>
      </c>
      <c r="K422">
        <v>0</v>
      </c>
      <c r="L422">
        <v>2009</v>
      </c>
      <c r="M422">
        <f t="shared" si="18"/>
        <v>17</v>
      </c>
      <c r="N422" t="str">
        <v>Headquarters
42 North Chestnut Street 
Ventura, California    93001
United States
Main Phone: 805 585 3434</v>
      </c>
      <c r="O422" t="str">
        <f t="shared" si="19"/>
        <v>1</v>
      </c>
      <c r="P422">
        <v>11337.8</v>
      </c>
      <c r="Q422">
        <v>10471</v>
      </c>
      <c r="R422">
        <v>690.1</v>
      </c>
      <c r="S422" s="4">
        <f t="shared" si="20"/>
        <v>15.173163309665265</v>
      </c>
      <c r="T422">
        <v>2896.3</v>
      </c>
      <c r="U422" s="1">
        <v>0.23830000000000001</v>
      </c>
    </row>
    <row r="423" spans="1:21" x14ac:dyDescent="0.3">
      <c r="A423" t="s">
        <v>1725</v>
      </c>
      <c r="B423" t="s">
        <v>1726</v>
      </c>
      <c r="C423" t="s">
        <v>20</v>
      </c>
      <c r="D423" t="s">
        <v>1727</v>
      </c>
      <c r="E423" t="s">
        <v>22</v>
      </c>
      <c r="F423" t="s">
        <v>53</v>
      </c>
      <c r="G423" s="6">
        <v>1</v>
      </c>
      <c r="H423" s="6">
        <v>34000</v>
      </c>
      <c r="J423" t="s">
        <v>1728</v>
      </c>
      <c r="K423">
        <v>0</v>
      </c>
      <c r="L423">
        <v>1853</v>
      </c>
      <c r="M423">
        <f t="shared" si="18"/>
        <v>173</v>
      </c>
      <c r="N423" t="str">
        <v>Headquarters
485 Lexington Avenue 
New York, New York    10017
United States
Main Phone: (917) 778-6000</v>
      </c>
      <c r="O423" t="str">
        <f t="shared" si="19"/>
        <v>0</v>
      </c>
      <c r="P423">
        <v>66739.7</v>
      </c>
      <c r="Q423">
        <v>75541.7</v>
      </c>
      <c r="R423">
        <v>8901</v>
      </c>
      <c r="S423" s="4">
        <f t="shared" si="20"/>
        <v>8.4868778788900112</v>
      </c>
      <c r="T423">
        <v>48828</v>
      </c>
      <c r="U423" s="1">
        <v>0.18229999999999999</v>
      </c>
    </row>
    <row r="424" spans="1:21" x14ac:dyDescent="0.3">
      <c r="A424" t="s">
        <v>1729</v>
      </c>
      <c r="B424" t="s">
        <v>1730</v>
      </c>
      <c r="C424" t="s">
        <v>20</v>
      </c>
      <c r="D424" t="s">
        <v>1731</v>
      </c>
      <c r="E424" t="s">
        <v>22</v>
      </c>
      <c r="F424" t="s">
        <v>95</v>
      </c>
      <c r="G424" s="6">
        <v>0</v>
      </c>
      <c r="H424" s="6">
        <v>194040</v>
      </c>
      <c r="J424" t="s">
        <v>1732</v>
      </c>
      <c r="K424">
        <v>0</v>
      </c>
      <c r="L424">
        <v>1923</v>
      </c>
      <c r="M424">
        <f t="shared" si="18"/>
        <v>103</v>
      </c>
      <c r="N424" t="str">
        <v>Headquarters
500 South Buena Vista Street 
Burbank, California    91521
United States
Main Phone: 818 560 1000</v>
      </c>
      <c r="O424" t="str">
        <f t="shared" si="19"/>
        <v>1</v>
      </c>
      <c r="P424">
        <v>187852</v>
      </c>
      <c r="Q424">
        <v>234346</v>
      </c>
      <c r="R424">
        <v>19306</v>
      </c>
      <c r="S424" s="4">
        <f t="shared" si="20"/>
        <v>12.138506163886875</v>
      </c>
      <c r="T424">
        <v>95716</v>
      </c>
      <c r="U424" s="1">
        <v>0.20169999999999999</v>
      </c>
    </row>
    <row r="425" spans="1:21" x14ac:dyDescent="0.3">
      <c r="A425" t="s">
        <v>1733</v>
      </c>
      <c r="B425" t="s">
        <v>1734</v>
      </c>
      <c r="C425" t="s">
        <v>20</v>
      </c>
      <c r="D425" t="s">
        <v>1735</v>
      </c>
      <c r="E425" t="s">
        <v>22</v>
      </c>
      <c r="F425" t="s">
        <v>153</v>
      </c>
      <c r="G425" s="6">
        <v>0</v>
      </c>
      <c r="H425" s="6">
        <v>5987</v>
      </c>
      <c r="J425" t="s">
        <v>1736</v>
      </c>
      <c r="K425">
        <v>0</v>
      </c>
      <c r="L425">
        <v>1908</v>
      </c>
      <c r="M425">
        <f t="shared" si="18"/>
        <v>118</v>
      </c>
      <c r="N425" t="str">
        <v>Headquarters
One Williams Center
PO BOX 2400 
Tulsa, Oklahoma    74172
United States
Main Phone: 800-945-5426</v>
      </c>
      <c r="O425" t="str">
        <f t="shared" si="19"/>
        <v>0</v>
      </c>
      <c r="P425">
        <v>91275.199999999997</v>
      </c>
      <c r="Q425">
        <v>122979.2</v>
      </c>
      <c r="R425">
        <v>6777</v>
      </c>
      <c r="S425" s="4">
        <f t="shared" si="20"/>
        <v>18.146554522650138</v>
      </c>
      <c r="T425">
        <v>11830</v>
      </c>
      <c r="U425" s="1">
        <v>0.57289999999999996</v>
      </c>
    </row>
    <row r="426" spans="1:21" x14ac:dyDescent="0.3">
      <c r="A426" t="s">
        <v>1737</v>
      </c>
      <c r="B426" t="s">
        <v>1738</v>
      </c>
      <c r="C426" t="s">
        <v>20</v>
      </c>
      <c r="D426" t="s">
        <v>1739</v>
      </c>
      <c r="E426" t="s">
        <v>22</v>
      </c>
      <c r="F426" t="s">
        <v>33</v>
      </c>
      <c r="G426" s="6">
        <v>0</v>
      </c>
      <c r="H426" s="6">
        <v>125000</v>
      </c>
      <c r="J426" t="s">
        <v>1740</v>
      </c>
      <c r="K426">
        <v>0</v>
      </c>
      <c r="L426">
        <v>1956</v>
      </c>
      <c r="M426">
        <f t="shared" si="18"/>
        <v>70</v>
      </c>
      <c r="N426" t="str">
        <v>Headquarters
168 Third Avenue 
Waltham, Massachusetts    02451
United States
Main Phone: 781 622 1000</v>
      </c>
      <c r="O426" t="str">
        <f t="shared" si="19"/>
        <v>0</v>
      </c>
      <c r="P426">
        <v>193584.2</v>
      </c>
      <c r="Q426">
        <v>224967.2</v>
      </c>
      <c r="R426">
        <v>11138</v>
      </c>
      <c r="S426" s="4">
        <f t="shared" si="20"/>
        <v>20.198168432393608</v>
      </c>
      <c r="T426">
        <v>44556</v>
      </c>
      <c r="U426" s="1">
        <v>0.25</v>
      </c>
    </row>
    <row r="427" spans="1:21" x14ac:dyDescent="0.3">
      <c r="A427" t="s">
        <v>1741</v>
      </c>
      <c r="B427" t="s">
        <v>1742</v>
      </c>
      <c r="C427" t="s">
        <v>20</v>
      </c>
      <c r="D427" t="s">
        <v>1743</v>
      </c>
      <c r="E427" t="s">
        <v>22</v>
      </c>
      <c r="F427" t="s">
        <v>95</v>
      </c>
      <c r="G427" s="6">
        <v>0</v>
      </c>
      <c r="H427" s="6">
        <v>4000</v>
      </c>
      <c r="J427" t="s">
        <v>1744</v>
      </c>
      <c r="K427">
        <v>0</v>
      </c>
      <c r="L427">
        <v>2023</v>
      </c>
      <c r="M427">
        <f t="shared" si="18"/>
        <v>3</v>
      </c>
      <c r="N427" t="str">
        <v>Headquarters
200 Fifth Avenue
7th Floor 
New York, New York    10010
United States
Main Phone: 646 558 8333</v>
      </c>
      <c r="O427" t="str">
        <f t="shared" si="19"/>
        <v>0</v>
      </c>
      <c r="P427">
        <v>17454.3</v>
      </c>
      <c r="Q427">
        <v>26199</v>
      </c>
      <c r="R427">
        <v>1367.1</v>
      </c>
      <c r="S427" s="4">
        <f t="shared" si="20"/>
        <v>19.16392363396972</v>
      </c>
      <c r="T427">
        <v>4735.2</v>
      </c>
      <c r="U427" s="1">
        <v>0.28870000000000001</v>
      </c>
    </row>
    <row r="428" spans="1:21" x14ac:dyDescent="0.3">
      <c r="A428" t="s">
        <v>1745</v>
      </c>
      <c r="B428" t="s">
        <v>1746</v>
      </c>
      <c r="C428" t="s">
        <v>41</v>
      </c>
      <c r="D428" t="s">
        <v>1747</v>
      </c>
      <c r="E428" t="s">
        <v>22</v>
      </c>
      <c r="F428" t="s">
        <v>67</v>
      </c>
      <c r="G428" s="6">
        <v>0</v>
      </c>
      <c r="H428" s="6">
        <v>39000</v>
      </c>
      <c r="J428" t="s">
        <v>1748</v>
      </c>
      <c r="K428">
        <v>0</v>
      </c>
      <c r="L428">
        <v>1938</v>
      </c>
      <c r="M428">
        <f t="shared" si="18"/>
        <v>88</v>
      </c>
      <c r="N428" t="str">
        <v>Headquarters
5401 Virginia Way 
Brentwood, Tennessee    37027
United States
Main Phone: 615 440 4000</v>
      </c>
      <c r="O428" t="str">
        <f t="shared" si="19"/>
        <v>0</v>
      </c>
      <c r="P428">
        <v>27286.1</v>
      </c>
      <c r="Q428">
        <v>33034.800000000003</v>
      </c>
      <c r="R428">
        <v>1961.4</v>
      </c>
      <c r="S428" s="4">
        <f t="shared" si="20"/>
        <v>16.842459467727135</v>
      </c>
      <c r="T428">
        <v>15524</v>
      </c>
      <c r="U428" s="1">
        <v>0.1263</v>
      </c>
    </row>
    <row r="429" spans="1:21" x14ac:dyDescent="0.3">
      <c r="A429" t="s">
        <v>1749</v>
      </c>
      <c r="B429" t="s">
        <v>1750</v>
      </c>
      <c r="C429" t="s">
        <v>20</v>
      </c>
      <c r="D429" t="s">
        <v>1751</v>
      </c>
      <c r="E429" t="s">
        <v>22</v>
      </c>
      <c r="F429" t="s">
        <v>28</v>
      </c>
      <c r="G429" s="6">
        <v>0</v>
      </c>
      <c r="H429" s="6">
        <v>16500</v>
      </c>
      <c r="J429" t="s">
        <v>1752</v>
      </c>
      <c r="K429">
        <v>0</v>
      </c>
      <c r="L429">
        <v>1993</v>
      </c>
      <c r="M429">
        <f t="shared" si="18"/>
        <v>33</v>
      </c>
      <c r="N429" t="str">
        <v>Headquarters
1350 Euclid Avenue
Suite 1600 
Cleveland, Ohio    44115
United States
Main Phone: 216 706 2960</v>
      </c>
      <c r="O429" t="str">
        <f t="shared" si="19"/>
        <v>0</v>
      </c>
      <c r="P429">
        <v>73573.2</v>
      </c>
      <c r="Q429">
        <v>101096.2</v>
      </c>
      <c r="R429">
        <v>4644</v>
      </c>
      <c r="S429" s="4">
        <f t="shared" si="20"/>
        <v>21.769207579672695</v>
      </c>
      <c r="T429">
        <v>9110</v>
      </c>
      <c r="U429" s="1">
        <v>0.50980000000000003</v>
      </c>
    </row>
    <row r="430" spans="1:21" x14ac:dyDescent="0.3">
      <c r="A430" t="s">
        <v>1753</v>
      </c>
      <c r="B430" t="s">
        <v>1754</v>
      </c>
      <c r="C430" t="s">
        <v>41</v>
      </c>
      <c r="D430" t="s">
        <v>1755</v>
      </c>
      <c r="E430" t="s">
        <v>22</v>
      </c>
      <c r="F430" t="s">
        <v>43</v>
      </c>
      <c r="G430" s="6">
        <v>0</v>
      </c>
      <c r="H430" s="6">
        <v>11500</v>
      </c>
      <c r="J430" t="s">
        <v>1756</v>
      </c>
      <c r="K430">
        <v>0</v>
      </c>
      <c r="L430">
        <v>1978</v>
      </c>
      <c r="M430">
        <f t="shared" si="18"/>
        <v>48</v>
      </c>
      <c r="N430" t="str">
        <v>Headquarters
10368 Westmoor Drive 
Westminster, Colorado    80021
United States
Main Phone: 720 887 6100</v>
      </c>
      <c r="O430" t="str">
        <f t="shared" si="19"/>
        <v>0</v>
      </c>
      <c r="P430">
        <v>15642.9</v>
      </c>
      <c r="Q430">
        <v>16950.599999999999</v>
      </c>
      <c r="R430">
        <v>818</v>
      </c>
      <c r="S430" s="4">
        <f t="shared" si="20"/>
        <v>20.722004889975548</v>
      </c>
      <c r="T430">
        <v>3587.3</v>
      </c>
      <c r="U430" s="1">
        <v>0.22800000000000001</v>
      </c>
    </row>
    <row r="431" spans="1:21" x14ac:dyDescent="0.3">
      <c r="A431" t="s">
        <v>1757</v>
      </c>
      <c r="B431" t="s">
        <v>1758</v>
      </c>
      <c r="C431" t="s">
        <v>20</v>
      </c>
      <c r="D431" t="s">
        <v>1759</v>
      </c>
      <c r="E431" t="s">
        <v>22</v>
      </c>
      <c r="F431" t="s">
        <v>53</v>
      </c>
      <c r="G431" s="6">
        <v>1</v>
      </c>
      <c r="H431" s="6">
        <v>37899</v>
      </c>
      <c r="J431" t="s">
        <v>1760</v>
      </c>
      <c r="K431">
        <v>0</v>
      </c>
      <c r="L431">
        <v>1872</v>
      </c>
      <c r="M431">
        <f t="shared" si="18"/>
        <v>154</v>
      </c>
      <c r="N431" t="str">
        <v>Headquarters
214 North Tryon Street 
Charlotte, North Carolina    28202
United States
Main Phone: 844 487 8478</v>
      </c>
      <c r="O431" t="str">
        <f t="shared" si="19"/>
        <v>0</v>
      </c>
      <c r="P431">
        <v>61596.5</v>
      </c>
      <c r="Q431" t="s">
        <v>91</v>
      </c>
      <c r="R431">
        <v>0</v>
      </c>
      <c r="S431" s="4" t="e">
        <f t="shared" si="20"/>
        <v>#VALUE!</v>
      </c>
      <c r="T431">
        <v>18425</v>
      </c>
      <c r="U431" s="1">
        <v>0</v>
      </c>
    </row>
    <row r="432" spans="1:21" x14ac:dyDescent="0.3">
      <c r="A432" t="s">
        <v>1761</v>
      </c>
      <c r="B432" t="s">
        <v>1762</v>
      </c>
      <c r="C432" t="s">
        <v>20</v>
      </c>
      <c r="D432" t="s">
        <v>1763</v>
      </c>
      <c r="E432" t="s">
        <v>22</v>
      </c>
      <c r="F432" t="s">
        <v>43</v>
      </c>
      <c r="G432" s="6">
        <v>0</v>
      </c>
      <c r="H432" s="6">
        <v>7800</v>
      </c>
      <c r="I432" t="s">
        <v>1764</v>
      </c>
      <c r="J432" t="s">
        <v>1764</v>
      </c>
      <c r="K432">
        <v>1</v>
      </c>
      <c r="L432">
        <v>1966</v>
      </c>
      <c r="M432">
        <f t="shared" si="18"/>
        <v>60</v>
      </c>
      <c r="N432" t="str">
        <v>Headquarters
5101 Tennyson Parkway 
Plano, Texas    75024
United States
Main Phone: 972 713 3700</v>
      </c>
      <c r="O432" t="str">
        <f t="shared" si="19"/>
        <v>0</v>
      </c>
      <c r="P432">
        <v>15246.5</v>
      </c>
      <c r="Q432">
        <v>14791.9</v>
      </c>
      <c r="R432">
        <v>434.8</v>
      </c>
      <c r="S432" s="4">
        <f t="shared" si="20"/>
        <v>34.020009199632014</v>
      </c>
      <c r="T432">
        <v>2332.3000000000002</v>
      </c>
      <c r="U432" s="1">
        <v>0.18640000000000001</v>
      </c>
    </row>
    <row r="433" spans="1:21" x14ac:dyDescent="0.3">
      <c r="A433" t="s">
        <v>1765</v>
      </c>
      <c r="B433" t="s">
        <v>1766</v>
      </c>
      <c r="C433" t="s">
        <v>20</v>
      </c>
      <c r="D433" t="s">
        <v>1767</v>
      </c>
      <c r="E433" t="s">
        <v>22</v>
      </c>
      <c r="F433" t="s">
        <v>100</v>
      </c>
      <c r="G433" s="6">
        <v>0</v>
      </c>
      <c r="H433" s="6">
        <v>133000</v>
      </c>
      <c r="J433" t="s">
        <v>1768</v>
      </c>
      <c r="K433">
        <v>0</v>
      </c>
      <c r="L433">
        <v>1935</v>
      </c>
      <c r="M433">
        <f t="shared" si="18"/>
        <v>91</v>
      </c>
      <c r="N433" t="str">
        <v>Headquarters
2200 West Don Tyson Parkway 
Springdale, Arkansas    72762-6999
United States
Main Phone: (479) 290-4000</v>
      </c>
      <c r="O433" t="str">
        <f t="shared" si="19"/>
        <v>0</v>
      </c>
      <c r="P433">
        <v>22881.599999999999</v>
      </c>
      <c r="Q433">
        <v>29987.599999999999</v>
      </c>
      <c r="R433">
        <v>2586</v>
      </c>
      <c r="S433" s="4">
        <f t="shared" si="20"/>
        <v>11.59613302397525</v>
      </c>
      <c r="T433">
        <v>55131</v>
      </c>
      <c r="U433" s="1">
        <v>4.6899999999999997E-2</v>
      </c>
    </row>
    <row r="434" spans="1:21" x14ac:dyDescent="0.3">
      <c r="A434" t="s">
        <v>1769</v>
      </c>
      <c r="B434" t="s">
        <v>1770</v>
      </c>
      <c r="C434" t="s">
        <v>20</v>
      </c>
      <c r="D434" t="s">
        <v>1771</v>
      </c>
      <c r="E434" t="s">
        <v>22</v>
      </c>
      <c r="F434" t="s">
        <v>53</v>
      </c>
      <c r="G434" s="6">
        <v>1</v>
      </c>
      <c r="H434" s="6">
        <v>68520</v>
      </c>
      <c r="I434" t="s">
        <v>1772</v>
      </c>
      <c r="J434" t="s">
        <v>1772</v>
      </c>
      <c r="K434">
        <v>1</v>
      </c>
      <c r="L434">
        <v>1863</v>
      </c>
      <c r="M434">
        <f t="shared" si="18"/>
        <v>163</v>
      </c>
      <c r="N434" t="str">
        <v>Headquarters
800 Nicollet Mall 
Minneapolis, Minnesota    55402
United States
Main Phone: 651-466-3000</v>
      </c>
      <c r="O434" t="str">
        <f t="shared" si="19"/>
        <v>0</v>
      </c>
      <c r="P434">
        <v>84925</v>
      </c>
      <c r="Q434" t="s">
        <v>91</v>
      </c>
      <c r="R434">
        <v>0</v>
      </c>
      <c r="S434" s="4" t="e">
        <f t="shared" si="20"/>
        <v>#VALUE!</v>
      </c>
      <c r="T434">
        <v>26354</v>
      </c>
      <c r="U434" s="1">
        <v>0</v>
      </c>
    </row>
    <row r="435" spans="1:21" x14ac:dyDescent="0.3">
      <c r="A435" t="s">
        <v>1773</v>
      </c>
      <c r="B435" t="s">
        <v>1774</v>
      </c>
      <c r="C435" t="s">
        <v>20</v>
      </c>
      <c r="D435" t="s">
        <v>1775</v>
      </c>
      <c r="E435" t="s">
        <v>22</v>
      </c>
      <c r="F435" t="s">
        <v>28</v>
      </c>
      <c r="G435" s="6">
        <v>0</v>
      </c>
      <c r="H435" s="6">
        <v>34000</v>
      </c>
      <c r="J435" t="s">
        <v>1776</v>
      </c>
      <c r="K435">
        <v>0</v>
      </c>
      <c r="L435">
        <v>2009</v>
      </c>
      <c r="M435">
        <f t="shared" si="18"/>
        <v>17</v>
      </c>
      <c r="N435" t="str">
        <v>Headquarters
1725 3rd Street 
San Francisco, California    94158
United States
Main Phone: 415 612 8582</v>
      </c>
      <c r="O435" t="str">
        <f t="shared" si="19"/>
        <v>1</v>
      </c>
      <c r="P435">
        <v>155223.1</v>
      </c>
      <c r="Q435">
        <v>156341.1</v>
      </c>
      <c r="R435">
        <v>6312</v>
      </c>
      <c r="S435" s="4">
        <f t="shared" si="20"/>
        <v>24.768868821292777</v>
      </c>
      <c r="T435">
        <v>52017</v>
      </c>
      <c r="U435" s="1">
        <v>0.12130000000000001</v>
      </c>
    </row>
    <row r="436" spans="1:21" x14ac:dyDescent="0.3">
      <c r="A436" t="s">
        <v>1777</v>
      </c>
      <c r="B436" t="s">
        <v>1778</v>
      </c>
      <c r="C436" t="s">
        <v>20</v>
      </c>
      <c r="D436" t="s">
        <v>1779</v>
      </c>
      <c r="E436" t="s">
        <v>22</v>
      </c>
      <c r="F436" t="s">
        <v>80</v>
      </c>
      <c r="G436" s="6">
        <v>0</v>
      </c>
      <c r="H436" s="6">
        <v>1423</v>
      </c>
      <c r="J436" t="s">
        <v>1780</v>
      </c>
      <c r="K436">
        <v>0</v>
      </c>
      <c r="L436">
        <v>1972</v>
      </c>
      <c r="M436">
        <f t="shared" si="18"/>
        <v>54</v>
      </c>
      <c r="N436" t="str">
        <v>Headquarters
1745 Shea Center Drive
Suite 200 
Highlands Ranch, Colorado    80129-1540
United States
Main Phone: 720 283 6120
Main Fax: 720 283 2453
Other Phone: 720 283 6135</v>
      </c>
      <c r="O436" t="str">
        <f t="shared" si="19"/>
        <v>0</v>
      </c>
      <c r="P436">
        <v>12321.4</v>
      </c>
      <c r="Q436">
        <v>19227.8</v>
      </c>
      <c r="R436">
        <v>1035.2</v>
      </c>
      <c r="S436" s="4">
        <f t="shared" si="20"/>
        <v>18.573995363214838</v>
      </c>
      <c r="T436">
        <v>1748.9</v>
      </c>
      <c r="U436" s="1">
        <v>0.59189999999999998</v>
      </c>
    </row>
    <row r="437" spans="1:21" x14ac:dyDescent="0.3">
      <c r="A437" t="s">
        <v>1781</v>
      </c>
      <c r="B437" t="s">
        <v>1782</v>
      </c>
      <c r="C437" t="s">
        <v>41</v>
      </c>
      <c r="D437" t="s">
        <v>1783</v>
      </c>
      <c r="E437" t="s">
        <v>22</v>
      </c>
      <c r="F437" t="s">
        <v>67</v>
      </c>
      <c r="G437" s="6">
        <v>0</v>
      </c>
      <c r="H437" s="6">
        <v>39000</v>
      </c>
      <c r="I437" t="s">
        <v>1784</v>
      </c>
      <c r="J437" t="s">
        <v>1784</v>
      </c>
      <c r="K437">
        <v>1</v>
      </c>
      <c r="L437">
        <v>1990</v>
      </c>
      <c r="M437">
        <f t="shared" si="18"/>
        <v>36</v>
      </c>
      <c r="N437" t="str">
        <v>Headquarters
1000 Remington Boulevard
Suite 120 
Bolingbrook, Illinois    60440
United States
Main Phone: 630 410 4800</v>
      </c>
      <c r="O437" t="str">
        <f t="shared" si="19"/>
        <v>0</v>
      </c>
      <c r="P437">
        <v>30378.799999999999</v>
      </c>
      <c r="Q437">
        <v>32748.5</v>
      </c>
      <c r="R437">
        <v>1861</v>
      </c>
      <c r="S437" s="4">
        <f t="shared" si="20"/>
        <v>17.597259537882859</v>
      </c>
      <c r="T437">
        <v>11982.1</v>
      </c>
      <c r="U437" s="1">
        <v>0.15529999999999999</v>
      </c>
    </row>
    <row r="438" spans="1:21" x14ac:dyDescent="0.3">
      <c r="A438" t="s">
        <v>1785</v>
      </c>
      <c r="B438" t="s">
        <v>1786</v>
      </c>
      <c r="C438" t="s">
        <v>20</v>
      </c>
      <c r="D438" t="s">
        <v>1787</v>
      </c>
      <c r="E438" t="s">
        <v>22</v>
      </c>
      <c r="F438" t="s">
        <v>28</v>
      </c>
      <c r="G438" s="6">
        <v>0</v>
      </c>
      <c r="H438" s="6">
        <v>29287</v>
      </c>
      <c r="J438" t="s">
        <v>1788</v>
      </c>
      <c r="K438">
        <v>0</v>
      </c>
      <c r="L438">
        <v>1862</v>
      </c>
      <c r="M438">
        <f t="shared" si="18"/>
        <v>164</v>
      </c>
      <c r="N438" t="str">
        <v>Headquarters
1400 Douglas Street 
Omaha, Nebraska    68179
United States
Main Phone: 402 544 5000</v>
      </c>
      <c r="O438" t="str">
        <f t="shared" si="19"/>
        <v>0</v>
      </c>
      <c r="P438">
        <v>157236.9</v>
      </c>
      <c r="Q438">
        <v>188542.9</v>
      </c>
      <c r="R438">
        <v>12438</v>
      </c>
      <c r="S438" s="4">
        <f t="shared" si="20"/>
        <v>15.158618748995014</v>
      </c>
      <c r="T438">
        <v>24510</v>
      </c>
      <c r="U438" s="1">
        <v>0.50749999999999995</v>
      </c>
    </row>
    <row r="439" spans="1:21" x14ac:dyDescent="0.3">
      <c r="A439" t="s">
        <v>1789</v>
      </c>
      <c r="B439" t="s">
        <v>1790</v>
      </c>
      <c r="C439" t="s">
        <v>41</v>
      </c>
      <c r="D439" t="s">
        <v>1791</v>
      </c>
      <c r="E439" t="s">
        <v>22</v>
      </c>
      <c r="F439" t="s">
        <v>28</v>
      </c>
      <c r="G439" s="6">
        <v>0</v>
      </c>
      <c r="H439" s="6">
        <v>113200</v>
      </c>
      <c r="J439" t="s">
        <v>1792</v>
      </c>
      <c r="K439">
        <v>0</v>
      </c>
      <c r="L439">
        <v>1968</v>
      </c>
      <c r="M439">
        <f t="shared" si="18"/>
        <v>58</v>
      </c>
      <c r="N439" t="str">
        <v>Headquarters
233 South Wacker Drive 
Chicago, Illinois    60606
United States
Main Phone: 872 825 4000</v>
      </c>
      <c r="O439" t="str">
        <f t="shared" si="19"/>
        <v>0</v>
      </c>
      <c r="P439">
        <v>34380.699999999997</v>
      </c>
      <c r="Q439">
        <v>53176.7</v>
      </c>
      <c r="R439">
        <v>7755</v>
      </c>
      <c r="S439" s="4">
        <f t="shared" si="20"/>
        <v>6.8570857511283041</v>
      </c>
      <c r="T439">
        <v>59070</v>
      </c>
      <c r="U439" s="1">
        <v>0.1313</v>
      </c>
    </row>
    <row r="440" spans="1:21" x14ac:dyDescent="0.3">
      <c r="A440" t="s">
        <v>1793</v>
      </c>
      <c r="B440" t="s">
        <v>1794</v>
      </c>
      <c r="C440" t="s">
        <v>20</v>
      </c>
      <c r="D440" t="s">
        <v>1795</v>
      </c>
      <c r="E440" t="s">
        <v>22</v>
      </c>
      <c r="F440" t="s">
        <v>28</v>
      </c>
      <c r="G440" s="6">
        <v>0</v>
      </c>
      <c r="H440" s="6">
        <v>350625</v>
      </c>
      <c r="I440" t="s">
        <v>1796</v>
      </c>
      <c r="J440" t="s">
        <v>1796</v>
      </c>
      <c r="K440">
        <v>1</v>
      </c>
      <c r="L440">
        <v>1907</v>
      </c>
      <c r="M440">
        <f t="shared" si="18"/>
        <v>119</v>
      </c>
      <c r="N440" t="str">
        <v>Headquarters
55 Glenlake Parkway, N.E. 
Atlanta, Georgia    30328
United States
Main Phone: 404 828 6000</v>
      </c>
      <c r="O440" t="str">
        <f t="shared" si="19"/>
        <v>0</v>
      </c>
      <c r="P440">
        <v>98461.8</v>
      </c>
      <c r="Q440">
        <v>121192.8</v>
      </c>
      <c r="R440">
        <v>12212</v>
      </c>
      <c r="S440" s="4">
        <f t="shared" si="20"/>
        <v>9.9240746806419917</v>
      </c>
      <c r="T440">
        <v>88661</v>
      </c>
      <c r="U440" s="1">
        <v>0.13769999999999999</v>
      </c>
    </row>
    <row r="441" spans="1:21" x14ac:dyDescent="0.3">
      <c r="A441" t="s">
        <v>1797</v>
      </c>
      <c r="B441" t="s">
        <v>1798</v>
      </c>
      <c r="C441" t="s">
        <v>20</v>
      </c>
      <c r="D441" t="s">
        <v>1799</v>
      </c>
      <c r="E441" t="s">
        <v>22</v>
      </c>
      <c r="F441" t="s">
        <v>28</v>
      </c>
      <c r="G441" s="6">
        <v>0</v>
      </c>
      <c r="H441" s="6">
        <v>28500</v>
      </c>
      <c r="J441" t="s">
        <v>1800</v>
      </c>
      <c r="K441">
        <v>0</v>
      </c>
      <c r="L441">
        <v>1997</v>
      </c>
      <c r="M441">
        <f t="shared" si="18"/>
        <v>29</v>
      </c>
      <c r="N441" t="str">
        <v>Headquarters
100 First Stamford Place
Suite 700 
Stamford, Connecticut    06902
United States
Main Phone: 203 622 3131
Main Fax: 203 622 6080</v>
      </c>
      <c r="O441" t="str">
        <f t="shared" si="19"/>
        <v>0</v>
      </c>
      <c r="P441">
        <v>52918.400000000001</v>
      </c>
      <c r="Q441">
        <v>68129.399999999994</v>
      </c>
      <c r="R441">
        <v>4455</v>
      </c>
      <c r="S441" s="4">
        <f t="shared" si="20"/>
        <v>15.292794612794612</v>
      </c>
      <c r="T441">
        <v>16099</v>
      </c>
      <c r="U441" s="1">
        <v>0.2767</v>
      </c>
    </row>
    <row r="442" spans="1:21" x14ac:dyDescent="0.3">
      <c r="A442" t="s">
        <v>1801</v>
      </c>
      <c r="B442" t="s">
        <v>1802</v>
      </c>
      <c r="C442" t="s">
        <v>20</v>
      </c>
      <c r="D442" t="s">
        <v>1803</v>
      </c>
      <c r="E442" t="s">
        <v>22</v>
      </c>
      <c r="F442" t="s">
        <v>33</v>
      </c>
      <c r="G442" s="6">
        <v>0</v>
      </c>
      <c r="H442" s="6">
        <v>400000</v>
      </c>
      <c r="J442" t="s">
        <v>1804</v>
      </c>
      <c r="K442">
        <v>0</v>
      </c>
      <c r="L442">
        <v>1974</v>
      </c>
      <c r="M442">
        <f t="shared" si="18"/>
        <v>52</v>
      </c>
      <c r="N442" t="str">
        <v>Headquarters
1 Health Drive 
Eden Prairie, Minnesota    55344
United States
Main Phone: (800)-328-5979</v>
      </c>
      <c r="O442" t="str">
        <f t="shared" si="19"/>
        <v>0</v>
      </c>
      <c r="P442">
        <v>265655.3</v>
      </c>
      <c r="Q442">
        <v>321287.3</v>
      </c>
      <c r="R442">
        <v>23325</v>
      </c>
      <c r="S442" s="4">
        <f t="shared" si="20"/>
        <v>13.77437513397642</v>
      </c>
      <c r="T442">
        <v>447567</v>
      </c>
      <c r="U442" s="1">
        <v>5.21E-2</v>
      </c>
    </row>
    <row r="443" spans="1:21" x14ac:dyDescent="0.3">
      <c r="A443" t="s">
        <v>1805</v>
      </c>
      <c r="B443" t="s">
        <v>1806</v>
      </c>
      <c r="C443" t="s">
        <v>20</v>
      </c>
      <c r="D443" t="s">
        <v>1807</v>
      </c>
      <c r="E443" t="s">
        <v>22</v>
      </c>
      <c r="F443" t="s">
        <v>33</v>
      </c>
      <c r="G443" s="6">
        <v>0</v>
      </c>
      <c r="H443" s="6">
        <v>89950</v>
      </c>
      <c r="J443" t="s">
        <v>1808</v>
      </c>
      <c r="K443">
        <v>0</v>
      </c>
      <c r="L443">
        <v>1978</v>
      </c>
      <c r="M443">
        <f t="shared" si="18"/>
        <v>48</v>
      </c>
      <c r="N443" t="str">
        <v>Headquarters
Universal Corporate Center
367 South Gulph Road
PO Box 61558 
King of Prussia, Pennsylvania    19406-0958
United States
Main Phone: 610 768 3300</v>
      </c>
      <c r="O443" t="str">
        <f t="shared" si="19"/>
        <v>0</v>
      </c>
      <c r="P443">
        <v>12590</v>
      </c>
      <c r="Q443">
        <v>17752.3</v>
      </c>
      <c r="R443">
        <v>2612.8000000000002</v>
      </c>
      <c r="S443" s="4">
        <f t="shared" si="20"/>
        <v>6.7943585425597055</v>
      </c>
      <c r="T443">
        <v>17364.8</v>
      </c>
      <c r="U443" s="1">
        <v>0.15049999999999999</v>
      </c>
    </row>
    <row r="444" spans="1:21" x14ac:dyDescent="0.3">
      <c r="A444" t="s">
        <v>1809</v>
      </c>
      <c r="B444" t="s">
        <v>1810</v>
      </c>
      <c r="C444" t="s">
        <v>20</v>
      </c>
      <c r="D444" t="s">
        <v>1811</v>
      </c>
      <c r="E444" t="s">
        <v>22</v>
      </c>
      <c r="F444" t="s">
        <v>153</v>
      </c>
      <c r="G444" s="6">
        <v>0</v>
      </c>
      <c r="H444" s="6">
        <v>9785</v>
      </c>
      <c r="J444" t="s">
        <v>1812</v>
      </c>
      <c r="K444">
        <v>0</v>
      </c>
      <c r="L444">
        <v>1980</v>
      </c>
      <c r="M444">
        <f t="shared" si="18"/>
        <v>46</v>
      </c>
      <c r="N444" t="str">
        <v>Headquarters
One Valero Way 
San Antonio, Texas    78249
United States
Main Phone: 210 345 2000</v>
      </c>
      <c r="O444" t="str">
        <f t="shared" si="19"/>
        <v>0</v>
      </c>
      <c r="P444">
        <v>61192.7</v>
      </c>
      <c r="Q444">
        <v>71087.7</v>
      </c>
      <c r="R444">
        <v>7599</v>
      </c>
      <c r="S444" s="4">
        <f t="shared" si="20"/>
        <v>9.3548756415317804</v>
      </c>
      <c r="T444">
        <v>115939</v>
      </c>
      <c r="U444" s="1">
        <v>6.5500000000000003E-2</v>
      </c>
    </row>
    <row r="445" spans="1:21" x14ac:dyDescent="0.3">
      <c r="A445" t="s">
        <v>1813</v>
      </c>
      <c r="B445" t="s">
        <v>1814</v>
      </c>
      <c r="C445" t="s">
        <v>20</v>
      </c>
      <c r="D445" t="s">
        <v>1815</v>
      </c>
      <c r="E445" t="s">
        <v>22</v>
      </c>
      <c r="F445" t="s">
        <v>80</v>
      </c>
      <c r="G445" s="6">
        <v>0</v>
      </c>
      <c r="H445" s="6">
        <v>542</v>
      </c>
      <c r="I445" t="s">
        <v>1816</v>
      </c>
      <c r="J445" t="s">
        <v>1816</v>
      </c>
      <c r="K445">
        <v>1</v>
      </c>
      <c r="L445">
        <v>1983</v>
      </c>
      <c r="M445">
        <f t="shared" si="18"/>
        <v>43</v>
      </c>
      <c r="N445" t="str">
        <v>Headquarters
300 North LaSalle Street
Suite 1600 
Chicago, Illinois    60654
United States
Main Phone: 877 483 6827</v>
      </c>
      <c r="O445" t="str">
        <f t="shared" si="19"/>
        <v>0</v>
      </c>
      <c r="P445">
        <v>40923</v>
      </c>
      <c r="Q445">
        <v>53835.3</v>
      </c>
      <c r="R445">
        <v>2213.1999999999998</v>
      </c>
      <c r="S445" s="4">
        <f t="shared" si="20"/>
        <v>24.324643050786197</v>
      </c>
      <c r="T445">
        <v>5817.4</v>
      </c>
      <c r="U445" s="1">
        <v>0.38040000000000002</v>
      </c>
    </row>
    <row r="446" spans="1:21" x14ac:dyDescent="0.3">
      <c r="A446" t="s">
        <v>1817</v>
      </c>
      <c r="B446" t="s">
        <v>1818</v>
      </c>
      <c r="C446" t="s">
        <v>20</v>
      </c>
      <c r="D446" t="s">
        <v>1819</v>
      </c>
      <c r="E446" t="s">
        <v>22</v>
      </c>
      <c r="F446" t="s">
        <v>28</v>
      </c>
      <c r="G446" s="6">
        <v>0</v>
      </c>
      <c r="H446" s="6">
        <v>16750</v>
      </c>
      <c r="I446" t="s">
        <v>1820</v>
      </c>
      <c r="J446" t="s">
        <v>1820</v>
      </c>
      <c r="K446">
        <v>1</v>
      </c>
      <c r="L446">
        <v>2022</v>
      </c>
      <c r="M446">
        <f t="shared" si="18"/>
        <v>4</v>
      </c>
      <c r="N446" t="str">
        <v>Headquarters
225 Wyman Street
Suite 250 
Waltham, Massachusetts    02451
United States
Main Phone: 781 755 3655</v>
      </c>
      <c r="O446" t="str">
        <f t="shared" si="19"/>
        <v>0</v>
      </c>
      <c r="P446">
        <v>24147.4</v>
      </c>
      <c r="Q446">
        <v>24996.400000000001</v>
      </c>
      <c r="R446">
        <v>1357</v>
      </c>
      <c r="S446" s="4">
        <f t="shared" si="20"/>
        <v>18.420338983050847</v>
      </c>
      <c r="T446">
        <v>5503</v>
      </c>
      <c r="U446" s="1">
        <v>0.24660000000000001</v>
      </c>
    </row>
    <row r="447" spans="1:21" x14ac:dyDescent="0.3">
      <c r="A447" t="s">
        <v>1821</v>
      </c>
      <c r="B447" t="s">
        <v>1822</v>
      </c>
      <c r="C447" t="s">
        <v>41</v>
      </c>
      <c r="D447" t="s">
        <v>1823</v>
      </c>
      <c r="E447" t="s">
        <v>22</v>
      </c>
      <c r="F447" t="s">
        <v>43</v>
      </c>
      <c r="G447" s="6">
        <v>0</v>
      </c>
      <c r="H447" s="6">
        <v>927</v>
      </c>
      <c r="J447" t="s">
        <v>1824</v>
      </c>
      <c r="K447">
        <v>0</v>
      </c>
      <c r="L447">
        <v>1995</v>
      </c>
      <c r="M447">
        <f t="shared" si="18"/>
        <v>31</v>
      </c>
      <c r="N447" t="str">
        <v>Headquarters
12061 Bluemont Way 
Reston, Virginia    20190
United States
Main Phone: 703 948 3200</v>
      </c>
      <c r="O447" t="str">
        <f t="shared" si="19"/>
        <v>0</v>
      </c>
      <c r="P447">
        <v>20902.099999999999</v>
      </c>
      <c r="Q447">
        <v>22119.599999999999</v>
      </c>
      <c r="R447">
        <v>1152.2</v>
      </c>
      <c r="S447" s="4">
        <f t="shared" si="20"/>
        <v>19.197708731123068</v>
      </c>
      <c r="T447">
        <v>1656.6</v>
      </c>
      <c r="U447" s="1">
        <v>0.69550000000000001</v>
      </c>
    </row>
    <row r="448" spans="1:21" x14ac:dyDescent="0.3">
      <c r="A448" t="s">
        <v>1825</v>
      </c>
      <c r="B448" t="s">
        <v>1826</v>
      </c>
      <c r="C448" t="s">
        <v>41</v>
      </c>
      <c r="D448" t="s">
        <v>1827</v>
      </c>
      <c r="E448" t="s">
        <v>22</v>
      </c>
      <c r="F448" t="s">
        <v>28</v>
      </c>
      <c r="G448" s="6">
        <v>0</v>
      </c>
      <c r="H448" s="6">
        <v>8000</v>
      </c>
      <c r="J448" t="s">
        <v>1828</v>
      </c>
      <c r="K448">
        <v>0</v>
      </c>
      <c r="L448">
        <v>1971</v>
      </c>
      <c r="M448">
        <f t="shared" si="18"/>
        <v>55</v>
      </c>
      <c r="N448" t="str">
        <v>Headquarters
545 Washington Boulevard 
Jersey City, New Jersey    07310-1686
United States
Main Phone: 201 469 3000
Main Fax: 201 748 1472</v>
      </c>
      <c r="O448" t="str">
        <f t="shared" si="19"/>
        <v>0</v>
      </c>
      <c r="P448">
        <v>28632.6</v>
      </c>
      <c r="Q448">
        <v>31354.9</v>
      </c>
      <c r="R448">
        <v>1484.9</v>
      </c>
      <c r="S448" s="4">
        <f t="shared" si="20"/>
        <v>21.115832716007812</v>
      </c>
      <c r="T448">
        <v>3072.7</v>
      </c>
      <c r="U448" s="1">
        <v>0.48330000000000001</v>
      </c>
    </row>
    <row r="449" spans="1:21" x14ac:dyDescent="0.3">
      <c r="A449" t="s">
        <v>1829</v>
      </c>
      <c r="B449" t="s">
        <v>1830</v>
      </c>
      <c r="C449" t="s">
        <v>20</v>
      </c>
      <c r="D449" t="s">
        <v>1831</v>
      </c>
      <c r="E449" t="s">
        <v>22</v>
      </c>
      <c r="F449" t="s">
        <v>95</v>
      </c>
      <c r="G449" s="6">
        <v>0</v>
      </c>
      <c r="H449" s="6">
        <v>89900</v>
      </c>
      <c r="J449" t="s">
        <v>1832</v>
      </c>
      <c r="K449">
        <v>0</v>
      </c>
      <c r="L449">
        <v>1983</v>
      </c>
      <c r="M449">
        <f t="shared" si="18"/>
        <v>43</v>
      </c>
      <c r="N449" t="str">
        <v>Headquarters
1095 Avenue of the Americas 
New York, New York    10036
United States
Main Phone: 212 395 1000</v>
      </c>
      <c r="O449" t="str">
        <f t="shared" si="19"/>
        <v>0</v>
      </c>
      <c r="P449">
        <v>211474.7</v>
      </c>
      <c r="Q449">
        <v>378521.7</v>
      </c>
      <c r="R449">
        <v>49997</v>
      </c>
      <c r="S449" s="4">
        <f t="shared" si="20"/>
        <v>7.5708882532951982</v>
      </c>
      <c r="T449">
        <v>138191</v>
      </c>
      <c r="U449" s="1">
        <v>0.36180000000000001</v>
      </c>
    </row>
    <row r="450" spans="1:21" x14ac:dyDescent="0.3">
      <c r="A450" t="s">
        <v>1833</v>
      </c>
      <c r="B450" t="s">
        <v>1834</v>
      </c>
      <c r="C450" t="s">
        <v>41</v>
      </c>
      <c r="D450" t="s">
        <v>1835</v>
      </c>
      <c r="E450" t="s">
        <v>22</v>
      </c>
      <c r="F450" t="s">
        <v>33</v>
      </c>
      <c r="G450" s="6">
        <v>0</v>
      </c>
      <c r="H450" s="6">
        <v>6400</v>
      </c>
      <c r="I450" t="s">
        <v>1836</v>
      </c>
      <c r="J450" t="s">
        <v>1836</v>
      </c>
      <c r="K450">
        <v>1</v>
      </c>
      <c r="L450">
        <v>1989</v>
      </c>
      <c r="M450">
        <f t="shared" si="18"/>
        <v>37</v>
      </c>
      <c r="N450" t="str">
        <v>Headquarters
50 Northern Avenue 
Boston, Massachusetts    02210
United States
Main Phone: 617 341 6100</v>
      </c>
      <c r="O450" t="str">
        <f t="shared" si="19"/>
        <v>0</v>
      </c>
      <c r="P450">
        <v>126211.8</v>
      </c>
      <c r="Q450">
        <v>115927.4</v>
      </c>
      <c r="R450">
        <v>4866</v>
      </c>
      <c r="S450" s="4">
        <f t="shared" si="20"/>
        <v>23.823962186600902</v>
      </c>
      <c r="T450">
        <v>12001.3</v>
      </c>
      <c r="U450" s="1">
        <v>0.40550000000000003</v>
      </c>
    </row>
    <row r="451" spans="1:21" x14ac:dyDescent="0.3">
      <c r="A451" t="s">
        <v>1837</v>
      </c>
      <c r="B451" t="s">
        <v>1838</v>
      </c>
      <c r="C451" t="s">
        <v>41</v>
      </c>
      <c r="D451" t="s">
        <v>1839</v>
      </c>
      <c r="E451" t="s">
        <v>22</v>
      </c>
      <c r="F451" t="s">
        <v>33</v>
      </c>
      <c r="G451" s="6">
        <v>0</v>
      </c>
      <c r="H451" s="6">
        <v>30000</v>
      </c>
      <c r="J451" t="s">
        <v>1840</v>
      </c>
      <c r="K451">
        <v>0</v>
      </c>
      <c r="L451">
        <v>1961</v>
      </c>
      <c r="M451">
        <f t="shared" ref="M451:M477" si="21">2026-L451</f>
        <v>65</v>
      </c>
      <c r="N451" t="str">
        <v>Headquarters
Robert J. Coury Global Center
1000 Mylan Boulevard 
Canonsburg, Pennsylvania    15317
United States
Main Phone: 724 514 1800</v>
      </c>
      <c r="O451" t="str">
        <f t="shared" ref="O451:O477" si="22">IF(ISNUMBER(SEARCH("california",N451)),"1","0")</f>
        <v>0</v>
      </c>
      <c r="P451">
        <v>17190.3</v>
      </c>
      <c r="Q451">
        <v>30375.3</v>
      </c>
      <c r="R451">
        <v>3958.2</v>
      </c>
      <c r="S451" s="4">
        <f t="shared" ref="S451:S477" si="23">Q451/R451</f>
        <v>7.6740184932545095</v>
      </c>
      <c r="T451">
        <v>14299.9</v>
      </c>
      <c r="U451" s="1">
        <v>0.27679999999999999</v>
      </c>
    </row>
    <row r="452" spans="1:21" x14ac:dyDescent="0.3">
      <c r="A452" t="s">
        <v>1841</v>
      </c>
      <c r="B452" t="s">
        <v>1842</v>
      </c>
      <c r="C452" t="s">
        <v>20</v>
      </c>
      <c r="D452" t="s">
        <v>1843</v>
      </c>
      <c r="E452" t="s">
        <v>22</v>
      </c>
      <c r="F452" t="s">
        <v>80</v>
      </c>
      <c r="G452" s="6">
        <v>0</v>
      </c>
      <c r="H452" s="6">
        <v>28</v>
      </c>
      <c r="J452" t="s">
        <v>1844</v>
      </c>
      <c r="K452">
        <v>0</v>
      </c>
      <c r="L452">
        <v>2016</v>
      </c>
      <c r="M452">
        <f t="shared" si="21"/>
        <v>10</v>
      </c>
      <c r="N452" t="str">
        <v>Headquarters
535 Madison Avenue
28th Floor 
New York, New York    10022-2203
United States
Main Phone: 646 949 4631</v>
      </c>
      <c r="O452" t="str">
        <f t="shared" si="22"/>
        <v>0</v>
      </c>
      <c r="P452">
        <v>32286.6</v>
      </c>
      <c r="Q452">
        <v>49837.8</v>
      </c>
      <c r="R452">
        <v>3651.2</v>
      </c>
      <c r="S452" s="4">
        <f t="shared" si="23"/>
        <v>13.649704206836111</v>
      </c>
      <c r="T452">
        <v>4006.1</v>
      </c>
      <c r="U452" s="1">
        <v>0.91139999999999999</v>
      </c>
    </row>
    <row r="453" spans="1:21" x14ac:dyDescent="0.3">
      <c r="A453" t="s">
        <v>1845</v>
      </c>
      <c r="B453" t="s">
        <v>1846</v>
      </c>
      <c r="C453" t="s">
        <v>20</v>
      </c>
      <c r="D453" t="s">
        <v>1847</v>
      </c>
      <c r="E453" t="s">
        <v>22</v>
      </c>
      <c r="F453" t="s">
        <v>53</v>
      </c>
      <c r="G453" s="6">
        <v>1</v>
      </c>
      <c r="H453" s="6">
        <v>34100</v>
      </c>
      <c r="J453" t="s">
        <v>1848</v>
      </c>
      <c r="K453">
        <v>0</v>
      </c>
      <c r="L453">
        <v>1958</v>
      </c>
      <c r="M453">
        <f t="shared" si="21"/>
        <v>68</v>
      </c>
      <c r="N453" t="str">
        <v>Headquarters
P.O. Box 8999 
San Francisco, California    94128-8999
United States
Main Phone: 650 432 3200</v>
      </c>
      <c r="O453" t="str">
        <f t="shared" si="22"/>
        <v>1</v>
      </c>
      <c r="P453">
        <v>610189.80000000005</v>
      </c>
      <c r="Q453">
        <v>615520.80000000005</v>
      </c>
      <c r="R453">
        <v>28987</v>
      </c>
      <c r="S453" s="4">
        <f t="shared" si="23"/>
        <v>21.23437402973747</v>
      </c>
      <c r="T453">
        <v>41391</v>
      </c>
      <c r="U453" s="1">
        <v>0.70030000000000003</v>
      </c>
    </row>
    <row r="454" spans="1:21" x14ac:dyDescent="0.3">
      <c r="A454" t="s">
        <v>1849</v>
      </c>
      <c r="B454" t="s">
        <v>1850</v>
      </c>
      <c r="C454" t="s">
        <v>20</v>
      </c>
      <c r="D454" t="s">
        <v>1851</v>
      </c>
      <c r="E454" t="s">
        <v>22</v>
      </c>
      <c r="F454" t="s">
        <v>89</v>
      </c>
      <c r="G454" s="6">
        <v>0</v>
      </c>
      <c r="H454" s="6">
        <v>6850</v>
      </c>
      <c r="J454" t="s">
        <v>1852</v>
      </c>
      <c r="K454">
        <v>0</v>
      </c>
      <c r="L454">
        <v>1882</v>
      </c>
      <c r="M454">
        <f t="shared" si="21"/>
        <v>144</v>
      </c>
      <c r="N454" t="str">
        <v>Headquarters
6555 Sierra Drive 
Irving, Texas    75039
United States
Main Phone: 214 812 4600</v>
      </c>
      <c r="O454" t="str">
        <f t="shared" si="22"/>
        <v>0</v>
      </c>
      <c r="P454">
        <v>58593</v>
      </c>
      <c r="Q454">
        <v>80704</v>
      </c>
      <c r="R454">
        <v>5024</v>
      </c>
      <c r="S454" s="4">
        <f t="shared" si="23"/>
        <v>16.063694267515924</v>
      </c>
      <c r="T454">
        <v>17738</v>
      </c>
      <c r="U454" s="1">
        <v>0.28320000000000001</v>
      </c>
    </row>
    <row r="455" spans="1:21" x14ac:dyDescent="0.3">
      <c r="A455" t="s">
        <v>1853</v>
      </c>
      <c r="B455" t="s">
        <v>1854</v>
      </c>
      <c r="C455" t="s">
        <v>20</v>
      </c>
      <c r="D455" t="s">
        <v>1855</v>
      </c>
      <c r="E455" t="s">
        <v>22</v>
      </c>
      <c r="F455" t="s">
        <v>62</v>
      </c>
      <c r="G455" s="6">
        <v>0</v>
      </c>
      <c r="H455" s="6">
        <v>11548</v>
      </c>
      <c r="J455" t="s">
        <v>1856</v>
      </c>
      <c r="K455">
        <v>0</v>
      </c>
      <c r="L455">
        <v>1909</v>
      </c>
      <c r="M455">
        <f t="shared" si="21"/>
        <v>117</v>
      </c>
      <c r="N455" t="str">
        <v>Headquarters
1200 Urban Center Drive 
Birmingham, Alabama    35242
United States
Main Phone: 205 298 3000</v>
      </c>
      <c r="O455" t="str">
        <f t="shared" si="22"/>
        <v>0</v>
      </c>
      <c r="P455">
        <v>40479.9</v>
      </c>
      <c r="Q455">
        <v>45260.4</v>
      </c>
      <c r="R455">
        <v>2311.3000000000002</v>
      </c>
      <c r="S455" s="4">
        <f t="shared" si="23"/>
        <v>19.582226452645696</v>
      </c>
      <c r="T455">
        <v>7941.1</v>
      </c>
      <c r="U455" s="1">
        <v>0.29110000000000003</v>
      </c>
    </row>
    <row r="456" spans="1:21" x14ac:dyDescent="0.3">
      <c r="A456" t="s">
        <v>1857</v>
      </c>
      <c r="B456" t="s">
        <v>1858</v>
      </c>
      <c r="C456" t="s">
        <v>20</v>
      </c>
      <c r="D456" t="s">
        <v>1859</v>
      </c>
      <c r="E456" t="s">
        <v>22</v>
      </c>
      <c r="F456" t="s">
        <v>53</v>
      </c>
      <c r="G456" s="6">
        <v>1</v>
      </c>
      <c r="H456" s="6">
        <v>8606</v>
      </c>
      <c r="J456" t="s">
        <v>1860</v>
      </c>
      <c r="K456">
        <v>0</v>
      </c>
      <c r="L456">
        <v>1967</v>
      </c>
      <c r="M456">
        <f t="shared" si="21"/>
        <v>59</v>
      </c>
      <c r="N456" t="str">
        <v>Headquarters
475 Steamboat Road 
Greenwich, Connecticut    06830
United States
Main Phone: 203 629 3000
Main Fax: 203 769 4098</v>
      </c>
      <c r="O456" t="str">
        <f t="shared" si="22"/>
        <v>0</v>
      </c>
      <c r="P456">
        <v>26851</v>
      </c>
      <c r="Q456">
        <v>27422.3</v>
      </c>
      <c r="R456">
        <v>2538.9</v>
      </c>
      <c r="S456" s="4">
        <f t="shared" si="23"/>
        <v>10.800858639568316</v>
      </c>
      <c r="T456">
        <v>14707.9</v>
      </c>
      <c r="U456" s="1">
        <v>0.1726</v>
      </c>
    </row>
    <row r="457" spans="1:21" x14ac:dyDescent="0.3">
      <c r="A457" t="s">
        <v>1861</v>
      </c>
      <c r="B457" t="s">
        <v>1862</v>
      </c>
      <c r="C457" t="s">
        <v>20</v>
      </c>
      <c r="D457" t="s">
        <v>1863</v>
      </c>
      <c r="E457" t="s">
        <v>22</v>
      </c>
      <c r="F457" t="s">
        <v>28</v>
      </c>
      <c r="G457" s="6">
        <v>0</v>
      </c>
      <c r="H457" s="6">
        <v>23550</v>
      </c>
      <c r="J457" t="s">
        <v>1864</v>
      </c>
      <c r="K457">
        <v>0</v>
      </c>
      <c r="L457">
        <v>1927</v>
      </c>
      <c r="M457">
        <f t="shared" si="21"/>
        <v>99</v>
      </c>
      <c r="N457" t="str">
        <v>Headquarters
100 Grainger Parkway 
Lake Forest, Illinois    60045-5201
United States
Main Phone: 847 535 1000</v>
      </c>
      <c r="O457" t="str">
        <f t="shared" si="22"/>
        <v>0</v>
      </c>
      <c r="P457">
        <v>54229.3</v>
      </c>
      <c r="Q457">
        <v>56911.3</v>
      </c>
      <c r="R457">
        <v>2963</v>
      </c>
      <c r="S457" s="4">
        <f t="shared" si="23"/>
        <v>19.207323658454271</v>
      </c>
      <c r="T457">
        <v>17942</v>
      </c>
      <c r="U457" s="1">
        <v>0.1651</v>
      </c>
    </row>
    <row r="458" spans="1:21" x14ac:dyDescent="0.3">
      <c r="A458" t="s">
        <v>1865</v>
      </c>
      <c r="B458" t="s">
        <v>1866</v>
      </c>
      <c r="C458" t="s">
        <v>41</v>
      </c>
      <c r="D458" t="s">
        <v>1867</v>
      </c>
      <c r="E458" t="s">
        <v>22</v>
      </c>
      <c r="F458" t="s">
        <v>100</v>
      </c>
      <c r="G458" s="6">
        <v>0</v>
      </c>
      <c r="H458" s="6">
        <v>2100000</v>
      </c>
      <c r="J458" t="s">
        <v>1868</v>
      </c>
      <c r="K458">
        <v>0</v>
      </c>
      <c r="L458">
        <v>1945</v>
      </c>
      <c r="M458">
        <f t="shared" si="21"/>
        <v>81</v>
      </c>
      <c r="N458" t="str">
        <v>Headquarters
1 Customer Drive 
Bentonville, Arkansas    72716
United States
Main Phone: 479-273-4000</v>
      </c>
      <c r="O458" t="str">
        <f t="shared" si="22"/>
        <v>0</v>
      </c>
      <c r="P458">
        <v>1019782.9</v>
      </c>
      <c r="Q458">
        <v>1082713.8999999999</v>
      </c>
      <c r="R458">
        <v>44178</v>
      </c>
      <c r="S458" s="4">
        <f t="shared" si="23"/>
        <v>24.50798813889266</v>
      </c>
      <c r="T458">
        <v>713163</v>
      </c>
      <c r="U458" s="1">
        <v>6.1899999999999997E-2</v>
      </c>
    </row>
    <row r="459" spans="1:21" x14ac:dyDescent="0.3">
      <c r="A459" t="s">
        <v>1869</v>
      </c>
      <c r="B459" t="s">
        <v>1870</v>
      </c>
      <c r="C459" t="s">
        <v>41</v>
      </c>
      <c r="D459" t="s">
        <v>1871</v>
      </c>
      <c r="E459" t="s">
        <v>22</v>
      </c>
      <c r="F459" t="s">
        <v>95</v>
      </c>
      <c r="G459" s="6">
        <v>0</v>
      </c>
      <c r="H459" s="6">
        <v>35000</v>
      </c>
      <c r="J459" t="s">
        <v>1872</v>
      </c>
      <c r="K459">
        <v>0</v>
      </c>
      <c r="L459">
        <v>2008</v>
      </c>
      <c r="M459">
        <f t="shared" si="21"/>
        <v>18</v>
      </c>
      <c r="N459" t="str">
        <v>Headquarters
230 Park Avenue South 
New York, New York    10003
United States
Main Phone: 212 548 5555</v>
      </c>
      <c r="O459" t="str">
        <f t="shared" si="22"/>
        <v>0</v>
      </c>
      <c r="P459">
        <v>69890.2</v>
      </c>
      <c r="Q459">
        <v>103318.2</v>
      </c>
      <c r="R459">
        <v>7565</v>
      </c>
      <c r="S459" s="4">
        <f t="shared" si="23"/>
        <v>13.657395902181097</v>
      </c>
      <c r="T459">
        <v>37296</v>
      </c>
      <c r="U459" s="1">
        <v>0.20280000000000001</v>
      </c>
    </row>
    <row r="460" spans="1:21" x14ac:dyDescent="0.3">
      <c r="A460" t="s">
        <v>1873</v>
      </c>
      <c r="B460" t="s">
        <v>1874</v>
      </c>
      <c r="C460" t="s">
        <v>20</v>
      </c>
      <c r="D460" t="s">
        <v>1875</v>
      </c>
      <c r="E460" t="s">
        <v>22</v>
      </c>
      <c r="F460" t="s">
        <v>28</v>
      </c>
      <c r="G460" s="6">
        <v>0</v>
      </c>
      <c r="H460" s="6">
        <v>60500</v>
      </c>
      <c r="J460" t="s">
        <v>1876</v>
      </c>
      <c r="K460">
        <v>0</v>
      </c>
      <c r="L460">
        <v>1968</v>
      </c>
      <c r="M460">
        <f t="shared" si="21"/>
        <v>58</v>
      </c>
      <c r="N460" t="str">
        <v>Headquarters
800 Capitol Street
Suite 3000 
Houston, Texas    77002
United States
Main Phone: 713 512 6200</v>
      </c>
      <c r="O460" t="str">
        <f t="shared" si="22"/>
        <v>0</v>
      </c>
      <c r="P460">
        <v>97139.4</v>
      </c>
      <c r="Q460">
        <v>120856.4</v>
      </c>
      <c r="R460">
        <v>7559</v>
      </c>
      <c r="S460" s="4">
        <f t="shared" si="23"/>
        <v>15.98841116549808</v>
      </c>
      <c r="T460">
        <v>25204</v>
      </c>
      <c r="U460" s="1">
        <v>0.2999</v>
      </c>
    </row>
    <row r="461" spans="1:21" x14ac:dyDescent="0.3">
      <c r="A461" t="s">
        <v>1877</v>
      </c>
      <c r="B461" t="s">
        <v>1878</v>
      </c>
      <c r="C461" t="s">
        <v>20</v>
      </c>
      <c r="D461" t="s">
        <v>1879</v>
      </c>
      <c r="E461" t="s">
        <v>22</v>
      </c>
      <c r="F461" t="s">
        <v>33</v>
      </c>
      <c r="G461" s="6">
        <v>0</v>
      </c>
      <c r="H461" s="6">
        <v>7900</v>
      </c>
      <c r="J461" t="s">
        <v>1880</v>
      </c>
      <c r="K461">
        <v>0</v>
      </c>
      <c r="L461">
        <v>1958</v>
      </c>
      <c r="M461">
        <f t="shared" si="21"/>
        <v>68</v>
      </c>
      <c r="N461" t="str">
        <v>Headquarters
34 Maple Street 
Milford, Massachusetts    01757
United States
Main Phone: 508 478 2000
Main Fax: 508 872 1990</v>
      </c>
      <c r="O461" t="str">
        <f t="shared" si="22"/>
        <v>0</v>
      </c>
      <c r="P461">
        <v>31331.8</v>
      </c>
      <c r="Q461">
        <v>32287.9</v>
      </c>
      <c r="R461">
        <v>1094</v>
      </c>
      <c r="S461" s="4">
        <f t="shared" si="23"/>
        <v>29.513619744058502</v>
      </c>
      <c r="T461">
        <v>3165.3</v>
      </c>
      <c r="U461" s="1">
        <v>0.34560000000000002</v>
      </c>
    </row>
    <row r="462" spans="1:21" x14ac:dyDescent="0.3">
      <c r="A462" t="s">
        <v>1881</v>
      </c>
      <c r="B462" t="s">
        <v>1882</v>
      </c>
      <c r="C462" t="s">
        <v>20</v>
      </c>
      <c r="D462" t="s">
        <v>1883</v>
      </c>
      <c r="E462" t="s">
        <v>22</v>
      </c>
      <c r="F462" t="s">
        <v>89</v>
      </c>
      <c r="G462" s="6">
        <v>0</v>
      </c>
      <c r="H462" s="6">
        <v>7151</v>
      </c>
      <c r="J462" t="s">
        <v>1884</v>
      </c>
      <c r="K462">
        <v>0</v>
      </c>
      <c r="L462">
        <v>1896</v>
      </c>
      <c r="M462">
        <f t="shared" si="21"/>
        <v>130</v>
      </c>
      <c r="N462" t="str">
        <v>Headquarters
231 West Michigan Street
PO Box 1331 
Milwaukee, Wisconsin    53201
United States
Main Phone: 414 221 2345</v>
      </c>
      <c r="O462" t="str">
        <f t="shared" si="22"/>
        <v>0</v>
      </c>
      <c r="P462">
        <v>38074.1</v>
      </c>
      <c r="Q462">
        <v>60876.2</v>
      </c>
      <c r="R462">
        <v>3867.7</v>
      </c>
      <c r="S462" s="4">
        <f t="shared" si="23"/>
        <v>15.73963854487163</v>
      </c>
      <c r="T462">
        <v>9800.1</v>
      </c>
      <c r="U462" s="1">
        <v>0.3947</v>
      </c>
    </row>
    <row r="463" spans="1:21" x14ac:dyDescent="0.3">
      <c r="A463" t="s">
        <v>1885</v>
      </c>
      <c r="B463" t="s">
        <v>1886</v>
      </c>
      <c r="C463" t="s">
        <v>20</v>
      </c>
      <c r="D463" t="s">
        <v>1887</v>
      </c>
      <c r="E463" t="s">
        <v>22</v>
      </c>
      <c r="F463" t="s">
        <v>53</v>
      </c>
      <c r="G463" s="6">
        <v>1</v>
      </c>
      <c r="H463" s="6">
        <v>205000</v>
      </c>
      <c r="J463" t="s">
        <v>1888</v>
      </c>
      <c r="K463">
        <v>0</v>
      </c>
      <c r="L463">
        <v>1852</v>
      </c>
      <c r="M463">
        <f t="shared" si="21"/>
        <v>174</v>
      </c>
      <c r="N463" t="str">
        <v>Headquarters
333 Market Street 
San Francisco, California    94105
United States
Main Phone: 415-371-2921</v>
      </c>
      <c r="O463" t="str">
        <f t="shared" si="22"/>
        <v>1</v>
      </c>
      <c r="P463">
        <v>251325</v>
      </c>
      <c r="Q463" t="s">
        <v>91</v>
      </c>
      <c r="R463">
        <v>0</v>
      </c>
      <c r="S463" s="4" t="e">
        <f t="shared" si="23"/>
        <v>#VALUE!</v>
      </c>
      <c r="T463">
        <v>80041</v>
      </c>
      <c r="U463" s="1">
        <v>0</v>
      </c>
    </row>
    <row r="464" spans="1:21" x14ac:dyDescent="0.3">
      <c r="A464" t="s">
        <v>1889</v>
      </c>
      <c r="B464" t="s">
        <v>1890</v>
      </c>
      <c r="C464" t="s">
        <v>20</v>
      </c>
      <c r="D464" t="s">
        <v>1891</v>
      </c>
      <c r="E464" t="s">
        <v>22</v>
      </c>
      <c r="F464" t="s">
        <v>80</v>
      </c>
      <c r="G464" s="6">
        <v>0</v>
      </c>
      <c r="H464" s="6">
        <v>712</v>
      </c>
      <c r="J464" t="s">
        <v>1892</v>
      </c>
      <c r="K464">
        <v>0</v>
      </c>
      <c r="L464">
        <v>1970</v>
      </c>
      <c r="M464">
        <f t="shared" si="21"/>
        <v>56</v>
      </c>
      <c r="N464" t="str">
        <v>Headquarters
4500 Dorr Street 
Toledo, Ohio    43615-4040
United States
Main Phone: 419 247 2800
Main Fax: 419 247 2826
Other Phone: 877 670 0070</v>
      </c>
      <c r="O464" t="str">
        <f t="shared" si="22"/>
        <v>0</v>
      </c>
      <c r="P464">
        <v>144518.5</v>
      </c>
      <c r="Q464">
        <v>161938.6</v>
      </c>
      <c r="R464">
        <v>2664.6</v>
      </c>
      <c r="S464" s="4">
        <f t="shared" si="23"/>
        <v>60.774074908053748</v>
      </c>
      <c r="T464">
        <v>10838</v>
      </c>
      <c r="U464" s="1">
        <v>0.24590000000000001</v>
      </c>
    </row>
    <row r="465" spans="1:21" x14ac:dyDescent="0.3">
      <c r="A465" t="s">
        <v>1893</v>
      </c>
      <c r="B465" t="s">
        <v>1894</v>
      </c>
      <c r="C465" t="s">
        <v>20</v>
      </c>
      <c r="D465" t="s">
        <v>1895</v>
      </c>
      <c r="E465" t="s">
        <v>22</v>
      </c>
      <c r="F465" t="s">
        <v>33</v>
      </c>
      <c r="G465" s="6">
        <v>0</v>
      </c>
      <c r="H465" s="6">
        <v>10800</v>
      </c>
      <c r="J465" t="s">
        <v>1896</v>
      </c>
      <c r="K465">
        <v>0</v>
      </c>
      <c r="L465">
        <v>1923</v>
      </c>
      <c r="M465">
        <f t="shared" si="21"/>
        <v>103</v>
      </c>
      <c r="N465" t="str">
        <v>Headquarters
530 Herman O. West Drive 
Exton, Pennsylvania    19341-1147
United States
Main Phone: 610 594 2900</v>
      </c>
      <c r="O465" t="str">
        <f t="shared" si="22"/>
        <v>0</v>
      </c>
      <c r="P465">
        <v>18317.900000000001</v>
      </c>
      <c r="Q465">
        <v>17852.8</v>
      </c>
      <c r="R465">
        <v>810.1</v>
      </c>
      <c r="S465" s="4">
        <f t="shared" si="23"/>
        <v>22.037773114430316</v>
      </c>
      <c r="T465">
        <v>3074.1</v>
      </c>
      <c r="U465" s="1">
        <v>0.26350000000000001</v>
      </c>
    </row>
    <row r="466" spans="1:21" x14ac:dyDescent="0.3">
      <c r="A466" t="s">
        <v>1897</v>
      </c>
      <c r="B466" t="s">
        <v>1898</v>
      </c>
      <c r="C466" t="s">
        <v>41</v>
      </c>
      <c r="D466" t="s">
        <v>1899</v>
      </c>
      <c r="E466" t="s">
        <v>22</v>
      </c>
      <c r="F466" t="s">
        <v>43</v>
      </c>
      <c r="G466" s="6">
        <v>0</v>
      </c>
      <c r="H466" s="6">
        <v>40000</v>
      </c>
      <c r="J466" t="s">
        <v>1495</v>
      </c>
      <c r="K466">
        <v>0</v>
      </c>
      <c r="L466">
        <v>1970</v>
      </c>
      <c r="M466">
        <f t="shared" si="21"/>
        <v>56</v>
      </c>
      <c r="N466" t="str">
        <v>Headquarters
5601 Great Oaks Parkway 
San Jose, California    95119
United States
Main Phone: 408 717 6000</v>
      </c>
      <c r="O466" t="str">
        <f t="shared" si="22"/>
        <v>1</v>
      </c>
      <c r="P466">
        <v>94828.9</v>
      </c>
      <c r="Q466">
        <v>95817.9</v>
      </c>
      <c r="R466">
        <v>3357</v>
      </c>
      <c r="S466" s="4">
        <f t="shared" si="23"/>
        <v>28.542716711349417</v>
      </c>
      <c r="T466">
        <v>10734</v>
      </c>
      <c r="U466" s="1">
        <v>0.31269999999999998</v>
      </c>
    </row>
    <row r="467" spans="1:21" x14ac:dyDescent="0.3">
      <c r="A467" t="s">
        <v>1900</v>
      </c>
      <c r="B467" t="s">
        <v>1901</v>
      </c>
      <c r="C467" t="s">
        <v>20</v>
      </c>
      <c r="D467" t="s">
        <v>1902</v>
      </c>
      <c r="E467" t="s">
        <v>22</v>
      </c>
      <c r="F467" t="s">
        <v>28</v>
      </c>
      <c r="G467" s="6">
        <v>0</v>
      </c>
      <c r="H467" s="6">
        <v>31000</v>
      </c>
      <c r="J467" t="s">
        <v>1903</v>
      </c>
      <c r="K467">
        <v>0</v>
      </c>
      <c r="L467">
        <v>1869</v>
      </c>
      <c r="M467">
        <f t="shared" si="21"/>
        <v>157</v>
      </c>
      <c r="N467" t="str">
        <v>Headquarters
30 Isabella Street 
Pittsburgh, Pennsylvania    15212
United States
Main Phone: 412 825 1000
Main Fax: 412 825 1019</v>
      </c>
      <c r="O467" t="str">
        <f t="shared" si="22"/>
        <v>0</v>
      </c>
      <c r="P467">
        <v>45008</v>
      </c>
      <c r="Q467">
        <v>50225</v>
      </c>
      <c r="R467">
        <v>2435</v>
      </c>
      <c r="S467" s="4">
        <f t="shared" si="23"/>
        <v>20.626283367556468</v>
      </c>
      <c r="T467">
        <v>11167</v>
      </c>
      <c r="U467" s="1">
        <v>0.21809999999999999</v>
      </c>
    </row>
    <row r="468" spans="1:21" x14ac:dyDescent="0.3">
      <c r="A468" t="s">
        <v>1904</v>
      </c>
      <c r="B468" t="s">
        <v>1905</v>
      </c>
      <c r="C468" t="s">
        <v>20</v>
      </c>
      <c r="D468" t="s">
        <v>1906</v>
      </c>
      <c r="E468" t="s">
        <v>22</v>
      </c>
      <c r="F468" t="s">
        <v>80</v>
      </c>
      <c r="G468" s="6">
        <v>0</v>
      </c>
      <c r="H468" s="6">
        <v>9517</v>
      </c>
      <c r="J468" t="s">
        <v>1907</v>
      </c>
      <c r="K468">
        <v>0</v>
      </c>
      <c r="L468">
        <v>1900</v>
      </c>
      <c r="M468">
        <f t="shared" si="21"/>
        <v>126</v>
      </c>
      <c r="N468" t="str">
        <v>Headquarters
220 Occidental Avenue South 
Seattle, Washington    98104-7800
United States
Main Phone: 206 539 3000</v>
      </c>
      <c r="O468" t="str">
        <f t="shared" si="22"/>
        <v>0</v>
      </c>
      <c r="P468">
        <v>17677.900000000001</v>
      </c>
      <c r="Q468">
        <v>22934.9</v>
      </c>
      <c r="R468">
        <v>706</v>
      </c>
      <c r="S468" s="4">
        <f t="shared" si="23"/>
        <v>32.485694050991505</v>
      </c>
      <c r="T468">
        <v>6905</v>
      </c>
      <c r="U468" s="1">
        <v>0.1022</v>
      </c>
    </row>
    <row r="469" spans="1:21" x14ac:dyDescent="0.3">
      <c r="A469" t="s">
        <v>1908</v>
      </c>
      <c r="B469" t="s">
        <v>1909</v>
      </c>
      <c r="C469" t="s">
        <v>20</v>
      </c>
      <c r="D469" t="s">
        <v>1910</v>
      </c>
      <c r="E469" t="s">
        <v>22</v>
      </c>
      <c r="F469" t="s">
        <v>67</v>
      </c>
      <c r="G469" s="6">
        <v>0</v>
      </c>
      <c r="H469" s="6">
        <v>19600</v>
      </c>
      <c r="I469" t="s">
        <v>1911</v>
      </c>
      <c r="J469" t="s">
        <v>1912</v>
      </c>
      <c r="K469">
        <v>1</v>
      </c>
      <c r="L469">
        <v>1956</v>
      </c>
      <c r="M469">
        <f t="shared" si="21"/>
        <v>70</v>
      </c>
      <c r="N469" t="str">
        <v>Headquarters
3250 Van Ness Avenue 
San Francisco, California    94109
United States
Main Phone: 415 421 7900</v>
      </c>
      <c r="O469" t="str">
        <f t="shared" si="22"/>
        <v>1</v>
      </c>
      <c r="P469">
        <v>24550.6</v>
      </c>
      <c r="Q469">
        <v>25131.7</v>
      </c>
      <c r="R469">
        <v>1698.2</v>
      </c>
      <c r="S469" s="4">
        <f t="shared" si="23"/>
        <v>14.799022494405841</v>
      </c>
      <c r="T469">
        <v>7911.9</v>
      </c>
      <c r="U469" s="1">
        <v>0.21460000000000001</v>
      </c>
    </row>
    <row r="470" spans="1:21" x14ac:dyDescent="0.3">
      <c r="A470" t="s">
        <v>1913</v>
      </c>
      <c r="B470" t="s">
        <v>1914</v>
      </c>
      <c r="C470" t="s">
        <v>41</v>
      </c>
      <c r="D470" t="s">
        <v>1915</v>
      </c>
      <c r="E470" t="s">
        <v>22</v>
      </c>
      <c r="F470" t="s">
        <v>43</v>
      </c>
      <c r="G470" s="6">
        <v>0</v>
      </c>
      <c r="H470" s="6">
        <v>20588</v>
      </c>
      <c r="J470" t="s">
        <v>1916</v>
      </c>
      <c r="K470">
        <v>0</v>
      </c>
      <c r="L470">
        <v>2005</v>
      </c>
      <c r="M470">
        <f t="shared" si="21"/>
        <v>21</v>
      </c>
      <c r="N470" t="str">
        <v>Headquarters
6110 Stoneridge Mall Road 
Pleasanton, California    94588
United States
Main Phone: 925 951 9000
Main Fax: 925 951 9001</v>
      </c>
      <c r="O470" t="str">
        <f t="shared" si="22"/>
        <v>1</v>
      </c>
      <c r="P470">
        <v>35178.9</v>
      </c>
      <c r="Q470">
        <v>33556.9</v>
      </c>
      <c r="R470">
        <v>1371</v>
      </c>
      <c r="S470" s="4">
        <f t="shared" si="23"/>
        <v>24.476221735959154</v>
      </c>
      <c r="T470">
        <v>9552</v>
      </c>
      <c r="U470" s="1">
        <v>0.14349999999999999</v>
      </c>
    </row>
    <row r="471" spans="1:21" x14ac:dyDescent="0.3">
      <c r="A471" t="s">
        <v>1917</v>
      </c>
      <c r="B471" t="s">
        <v>1918</v>
      </c>
      <c r="C471" t="s">
        <v>41</v>
      </c>
      <c r="D471" t="s">
        <v>1919</v>
      </c>
      <c r="E471" t="s">
        <v>22</v>
      </c>
      <c r="F471" t="s">
        <v>67</v>
      </c>
      <c r="G471" s="6">
        <v>0</v>
      </c>
      <c r="H471" s="6">
        <v>28000</v>
      </c>
      <c r="J471" t="s">
        <v>1920</v>
      </c>
      <c r="K471">
        <v>0</v>
      </c>
      <c r="L471">
        <v>2002</v>
      </c>
      <c r="M471">
        <f t="shared" si="21"/>
        <v>24</v>
      </c>
      <c r="N471" t="str">
        <v>Headquarters
3131 Las Vegas Boulevard South 
Las Vegas, Nevada    89109
United States
Main Phone: 702 770 7555</v>
      </c>
      <c r="O471" t="str">
        <f t="shared" si="22"/>
        <v>0</v>
      </c>
      <c r="P471">
        <v>11138.8</v>
      </c>
      <c r="Q471">
        <v>20602.3</v>
      </c>
      <c r="R471">
        <v>1733.3</v>
      </c>
      <c r="S471" s="4">
        <f t="shared" si="23"/>
        <v>11.88617088790169</v>
      </c>
      <c r="T471">
        <v>7137.9</v>
      </c>
      <c r="U471" s="1">
        <v>0.24279999999999999</v>
      </c>
    </row>
    <row r="472" spans="1:21" x14ac:dyDescent="0.3">
      <c r="A472" t="s">
        <v>1921</v>
      </c>
      <c r="B472" t="s">
        <v>1922</v>
      </c>
      <c r="C472" t="s">
        <v>41</v>
      </c>
      <c r="D472" t="s">
        <v>1923</v>
      </c>
      <c r="E472" t="s">
        <v>22</v>
      </c>
      <c r="F472" t="s">
        <v>89</v>
      </c>
      <c r="G472" s="6">
        <v>0</v>
      </c>
      <c r="H472" s="6">
        <v>11534</v>
      </c>
      <c r="J472" t="s">
        <v>1924</v>
      </c>
      <c r="K472">
        <v>0</v>
      </c>
      <c r="L472">
        <v>1909</v>
      </c>
      <c r="M472">
        <f t="shared" si="21"/>
        <v>117</v>
      </c>
      <c r="N472" t="str">
        <v>Headquarters
414 Nicollet Mall 
Minneapolis, Minnesota    55401
United States
Main Phone: 612 330 5500</v>
      </c>
      <c r="O472" t="str">
        <f t="shared" si="22"/>
        <v>0</v>
      </c>
      <c r="P472">
        <v>52006.400000000001</v>
      </c>
      <c r="Q472">
        <v>87807.4</v>
      </c>
      <c r="R472">
        <v>5980</v>
      </c>
      <c r="S472" s="4">
        <f t="shared" si="23"/>
        <v>14.683511705685618</v>
      </c>
      <c r="T472">
        <v>14669</v>
      </c>
      <c r="U472" s="1">
        <v>0.40770000000000001</v>
      </c>
    </row>
    <row r="473" spans="1:21" x14ac:dyDescent="0.3">
      <c r="A473" t="s">
        <v>1925</v>
      </c>
      <c r="B473" t="s">
        <v>1926</v>
      </c>
      <c r="C473" t="s">
        <v>20</v>
      </c>
      <c r="D473" t="s">
        <v>1927</v>
      </c>
      <c r="E473" t="s">
        <v>22</v>
      </c>
      <c r="F473" t="s">
        <v>28</v>
      </c>
      <c r="G473" s="6">
        <v>0</v>
      </c>
      <c r="H473" s="6">
        <v>22000</v>
      </c>
      <c r="J473" t="s">
        <v>1928</v>
      </c>
      <c r="K473">
        <v>0</v>
      </c>
      <c r="L473">
        <v>2011</v>
      </c>
      <c r="M473">
        <f t="shared" si="21"/>
        <v>15</v>
      </c>
      <c r="N473" t="str">
        <v>Headquarters
301 Water Street SE
Suite 200 
Washington, District Of Columbia    20003
United States
Main Phone: 202-869-9150</v>
      </c>
      <c r="O473" t="str">
        <f t="shared" si="22"/>
        <v>0</v>
      </c>
      <c r="P473">
        <v>31501.4</v>
      </c>
      <c r="Q473">
        <v>32766.400000000001</v>
      </c>
      <c r="R473">
        <v>1894</v>
      </c>
      <c r="S473" s="4">
        <f t="shared" si="23"/>
        <v>17.300105596620909</v>
      </c>
      <c r="T473">
        <v>9035</v>
      </c>
      <c r="U473" s="1">
        <v>0.20960000000000001</v>
      </c>
    </row>
    <row r="474" spans="1:21" x14ac:dyDescent="0.3">
      <c r="A474" t="s">
        <v>1929</v>
      </c>
      <c r="B474" t="s">
        <v>1930</v>
      </c>
      <c r="C474" t="s">
        <v>20</v>
      </c>
      <c r="D474" t="s">
        <v>1931</v>
      </c>
      <c r="E474" t="s">
        <v>22</v>
      </c>
      <c r="F474" t="s">
        <v>67</v>
      </c>
      <c r="G474" s="6">
        <v>0</v>
      </c>
      <c r="H474" s="6">
        <v>49000</v>
      </c>
      <c r="J474" t="s">
        <v>1932</v>
      </c>
      <c r="K474">
        <v>0</v>
      </c>
      <c r="L474">
        <v>1997</v>
      </c>
      <c r="M474">
        <f t="shared" si="21"/>
        <v>29</v>
      </c>
      <c r="N474" t="str">
        <v>Headquarters
1441 Gardiner Lane 
Louisville, Kentucky    40213
United States
Main Phone: 502 874 8300</v>
      </c>
      <c r="O474" t="str">
        <f t="shared" si="22"/>
        <v>0</v>
      </c>
      <c r="P474">
        <v>46484.5</v>
      </c>
      <c r="Q474">
        <v>58964.5</v>
      </c>
      <c r="R474">
        <v>2910</v>
      </c>
      <c r="S474" s="4">
        <f t="shared" si="23"/>
        <v>20.262714776632304</v>
      </c>
      <c r="T474">
        <v>8214</v>
      </c>
      <c r="U474" s="1">
        <v>0.3543</v>
      </c>
    </row>
    <row r="475" spans="1:21" x14ac:dyDescent="0.3">
      <c r="A475" t="s">
        <v>1933</v>
      </c>
      <c r="B475" t="s">
        <v>1934</v>
      </c>
      <c r="C475" t="s">
        <v>41</v>
      </c>
      <c r="D475" t="s">
        <v>1935</v>
      </c>
      <c r="E475" t="s">
        <v>22</v>
      </c>
      <c r="F475" t="s">
        <v>43</v>
      </c>
      <c r="G475" s="6">
        <v>0</v>
      </c>
      <c r="H475" s="6">
        <v>10700</v>
      </c>
      <c r="J475" t="s">
        <v>1936</v>
      </c>
      <c r="K475">
        <v>0</v>
      </c>
      <c r="L475">
        <v>1969</v>
      </c>
      <c r="M475">
        <f t="shared" si="21"/>
        <v>57</v>
      </c>
      <c r="N475" t="str">
        <v>Headquarters
3 Overlook Point 
Lincolnshire, Illinois    60069
United States
Main Phone: 847 634 6700</v>
      </c>
      <c r="O475" t="str">
        <f t="shared" si="22"/>
        <v>0</v>
      </c>
      <c r="P475">
        <v>11017</v>
      </c>
      <c r="Q475">
        <v>13589</v>
      </c>
      <c r="R475">
        <v>985</v>
      </c>
      <c r="S475" s="4">
        <f t="shared" si="23"/>
        <v>13.795939086294416</v>
      </c>
      <c r="T475">
        <v>5396</v>
      </c>
      <c r="U475" s="1">
        <v>0.1825</v>
      </c>
    </row>
    <row r="476" spans="1:21" x14ac:dyDescent="0.3">
      <c r="A476" t="s">
        <v>1937</v>
      </c>
      <c r="B476" t="s">
        <v>1938</v>
      </c>
      <c r="C476" t="s">
        <v>20</v>
      </c>
      <c r="D476" t="s">
        <v>1939</v>
      </c>
      <c r="E476" t="s">
        <v>22</v>
      </c>
      <c r="F476" t="s">
        <v>33</v>
      </c>
      <c r="G476" s="6">
        <v>0</v>
      </c>
      <c r="H476" s="6">
        <v>17000</v>
      </c>
      <c r="J476" t="s">
        <v>1940</v>
      </c>
      <c r="K476">
        <v>0</v>
      </c>
      <c r="L476">
        <v>1927</v>
      </c>
      <c r="M476">
        <f t="shared" si="21"/>
        <v>99</v>
      </c>
      <c r="N476" t="str">
        <v>Headquarters
345 East Main Street 
Warsaw, Indiana    46580
United States
Main Phone: 574 373 3333</v>
      </c>
      <c r="O476" t="str">
        <f t="shared" si="22"/>
        <v>0</v>
      </c>
      <c r="P476">
        <v>19260</v>
      </c>
      <c r="Q476">
        <v>26521.1</v>
      </c>
      <c r="R476">
        <v>2495.4</v>
      </c>
      <c r="S476" s="4">
        <f t="shared" si="23"/>
        <v>10.627995511741604</v>
      </c>
      <c r="T476">
        <v>8231.5</v>
      </c>
      <c r="U476" s="1">
        <v>0.30320000000000003</v>
      </c>
    </row>
    <row r="477" spans="1:21" x14ac:dyDescent="0.3">
      <c r="A477" s="2" t="s">
        <v>1941</v>
      </c>
      <c r="B477" s="2" t="s">
        <v>1942</v>
      </c>
      <c r="C477" s="2" t="s">
        <v>20</v>
      </c>
      <c r="D477" s="2" t="s">
        <v>1943</v>
      </c>
      <c r="E477" s="2" t="s">
        <v>22</v>
      </c>
      <c r="F477" s="2" t="s">
        <v>33</v>
      </c>
      <c r="G477" s="7">
        <v>0</v>
      </c>
      <c r="H477" s="7">
        <v>14500</v>
      </c>
      <c r="I477" s="2" t="s">
        <v>1944</v>
      </c>
      <c r="J477" s="2" t="s">
        <v>1944</v>
      </c>
      <c r="K477" s="2">
        <v>1</v>
      </c>
      <c r="L477" s="2">
        <v>2012</v>
      </c>
      <c r="M477">
        <f t="shared" si="21"/>
        <v>14</v>
      </c>
      <c r="N477" t="str">
        <v>Headquarters
10 Sylvan Way 
Parsippany, New Jersey    07054
United States
Main Phone: 973 822 7000</v>
      </c>
      <c r="O477" t="str">
        <f t="shared" si="22"/>
        <v>0</v>
      </c>
      <c r="P477" s="2">
        <v>55340.9</v>
      </c>
      <c r="Q477" s="2">
        <v>62341.9</v>
      </c>
      <c r="R477" s="2">
        <v>4066</v>
      </c>
      <c r="S477" s="4">
        <f t="shared" si="23"/>
        <v>15.332488932611904</v>
      </c>
      <c r="T477" s="2">
        <v>9467</v>
      </c>
      <c r="U477" s="3">
        <v>0.42949999999999999</v>
      </c>
    </row>
    <row r="478" spans="1:21" x14ac:dyDescent="0.3">
      <c r="A478" t="s">
        <v>1945</v>
      </c>
      <c r="B478">
        <f>COUNTA(A2:A477)</f>
        <v>476</v>
      </c>
      <c r="I478">
        <f>COUNTA(I2:I477)</f>
        <v>50</v>
      </c>
      <c r="K478">
        <f>SUM(K2:K477)</f>
        <v>50</v>
      </c>
    </row>
    <row r="481" spans="7:8" x14ac:dyDescent="0.3">
      <c r="G481" t="s">
        <v>1953</v>
      </c>
      <c r="H481" s="1">
        <f>K478/B478</f>
        <v>0.10504201680672269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1AA45-514D-418C-81CD-BFB6BD939F33}">
  <dimension ref="A6:E488"/>
  <sheetViews>
    <sheetView topLeftCell="A8" workbookViewId="0">
      <selection activeCell="C10" sqref="C10"/>
    </sheetView>
  </sheetViews>
  <sheetFormatPr defaultRowHeight="10.199999999999999" x14ac:dyDescent="0.2"/>
  <cols>
    <col min="1" max="1" width="25.77734375" style="10" customWidth="1"/>
    <col min="2" max="2" width="15.77734375" style="10" customWidth="1"/>
    <col min="3" max="5" width="40.77734375" style="10" customWidth="1"/>
    <col min="6" max="256" width="8.88671875" style="10"/>
    <col min="257" max="257" width="25.77734375" style="10" customWidth="1"/>
    <col min="258" max="258" width="15.77734375" style="10" customWidth="1"/>
    <col min="259" max="261" width="40.77734375" style="10" customWidth="1"/>
    <col min="262" max="512" width="8.88671875" style="10"/>
    <col min="513" max="513" width="25.77734375" style="10" customWidth="1"/>
    <col min="514" max="514" width="15.77734375" style="10" customWidth="1"/>
    <col min="515" max="517" width="40.77734375" style="10" customWidth="1"/>
    <col min="518" max="768" width="8.88671875" style="10"/>
    <col min="769" max="769" width="25.77734375" style="10" customWidth="1"/>
    <col min="770" max="770" width="15.77734375" style="10" customWidth="1"/>
    <col min="771" max="773" width="40.77734375" style="10" customWidth="1"/>
    <col min="774" max="1024" width="8.88671875" style="10"/>
    <col min="1025" max="1025" width="25.77734375" style="10" customWidth="1"/>
    <col min="1026" max="1026" width="15.77734375" style="10" customWidth="1"/>
    <col min="1027" max="1029" width="40.77734375" style="10" customWidth="1"/>
    <col min="1030" max="1280" width="8.88671875" style="10"/>
    <col min="1281" max="1281" width="25.77734375" style="10" customWidth="1"/>
    <col min="1282" max="1282" width="15.77734375" style="10" customWidth="1"/>
    <col min="1283" max="1285" width="40.77734375" style="10" customWidth="1"/>
    <col min="1286" max="1536" width="8.88671875" style="10"/>
    <col min="1537" max="1537" width="25.77734375" style="10" customWidth="1"/>
    <col min="1538" max="1538" width="15.77734375" style="10" customWidth="1"/>
    <col min="1539" max="1541" width="40.77734375" style="10" customWidth="1"/>
    <col min="1542" max="1792" width="8.88671875" style="10"/>
    <col min="1793" max="1793" width="25.77734375" style="10" customWidth="1"/>
    <col min="1794" max="1794" width="15.77734375" style="10" customWidth="1"/>
    <col min="1795" max="1797" width="40.77734375" style="10" customWidth="1"/>
    <col min="1798" max="2048" width="8.88671875" style="10"/>
    <col min="2049" max="2049" width="25.77734375" style="10" customWidth="1"/>
    <col min="2050" max="2050" width="15.77734375" style="10" customWidth="1"/>
    <col min="2051" max="2053" width="40.77734375" style="10" customWidth="1"/>
    <col min="2054" max="2304" width="8.88671875" style="10"/>
    <col min="2305" max="2305" width="25.77734375" style="10" customWidth="1"/>
    <col min="2306" max="2306" width="15.77734375" style="10" customWidth="1"/>
    <col min="2307" max="2309" width="40.77734375" style="10" customWidth="1"/>
    <col min="2310" max="2560" width="8.88671875" style="10"/>
    <col min="2561" max="2561" width="25.77734375" style="10" customWidth="1"/>
    <col min="2562" max="2562" width="15.77734375" style="10" customWidth="1"/>
    <col min="2563" max="2565" width="40.77734375" style="10" customWidth="1"/>
    <col min="2566" max="2816" width="8.88671875" style="10"/>
    <col min="2817" max="2817" width="25.77734375" style="10" customWidth="1"/>
    <col min="2818" max="2818" width="15.77734375" style="10" customWidth="1"/>
    <col min="2819" max="2821" width="40.77734375" style="10" customWidth="1"/>
    <col min="2822" max="3072" width="8.88671875" style="10"/>
    <col min="3073" max="3073" width="25.77734375" style="10" customWidth="1"/>
    <col min="3074" max="3074" width="15.77734375" style="10" customWidth="1"/>
    <col min="3075" max="3077" width="40.77734375" style="10" customWidth="1"/>
    <col min="3078" max="3328" width="8.88671875" style="10"/>
    <col min="3329" max="3329" width="25.77734375" style="10" customWidth="1"/>
    <col min="3330" max="3330" width="15.77734375" style="10" customWidth="1"/>
    <col min="3331" max="3333" width="40.77734375" style="10" customWidth="1"/>
    <col min="3334" max="3584" width="8.88671875" style="10"/>
    <col min="3585" max="3585" width="25.77734375" style="10" customWidth="1"/>
    <col min="3586" max="3586" width="15.77734375" style="10" customWidth="1"/>
    <col min="3587" max="3589" width="40.77734375" style="10" customWidth="1"/>
    <col min="3590" max="3840" width="8.88671875" style="10"/>
    <col min="3841" max="3841" width="25.77734375" style="10" customWidth="1"/>
    <col min="3842" max="3842" width="15.77734375" style="10" customWidth="1"/>
    <col min="3843" max="3845" width="40.77734375" style="10" customWidth="1"/>
    <col min="3846" max="4096" width="8.88671875" style="10"/>
    <col min="4097" max="4097" width="25.77734375" style="10" customWidth="1"/>
    <col min="4098" max="4098" width="15.77734375" style="10" customWidth="1"/>
    <col min="4099" max="4101" width="40.77734375" style="10" customWidth="1"/>
    <col min="4102" max="4352" width="8.88671875" style="10"/>
    <col min="4353" max="4353" width="25.77734375" style="10" customWidth="1"/>
    <col min="4354" max="4354" width="15.77734375" style="10" customWidth="1"/>
    <col min="4355" max="4357" width="40.77734375" style="10" customWidth="1"/>
    <col min="4358" max="4608" width="8.88671875" style="10"/>
    <col min="4609" max="4609" width="25.77734375" style="10" customWidth="1"/>
    <col min="4610" max="4610" width="15.77734375" style="10" customWidth="1"/>
    <col min="4611" max="4613" width="40.77734375" style="10" customWidth="1"/>
    <col min="4614" max="4864" width="8.88671875" style="10"/>
    <col min="4865" max="4865" width="25.77734375" style="10" customWidth="1"/>
    <col min="4866" max="4866" width="15.77734375" style="10" customWidth="1"/>
    <col min="4867" max="4869" width="40.77734375" style="10" customWidth="1"/>
    <col min="4870" max="5120" width="8.88671875" style="10"/>
    <col min="5121" max="5121" width="25.77734375" style="10" customWidth="1"/>
    <col min="5122" max="5122" width="15.77734375" style="10" customWidth="1"/>
    <col min="5123" max="5125" width="40.77734375" style="10" customWidth="1"/>
    <col min="5126" max="5376" width="8.88671875" style="10"/>
    <col min="5377" max="5377" width="25.77734375" style="10" customWidth="1"/>
    <col min="5378" max="5378" width="15.77734375" style="10" customWidth="1"/>
    <col min="5379" max="5381" width="40.77734375" style="10" customWidth="1"/>
    <col min="5382" max="5632" width="8.88671875" style="10"/>
    <col min="5633" max="5633" width="25.77734375" style="10" customWidth="1"/>
    <col min="5634" max="5634" width="15.77734375" style="10" customWidth="1"/>
    <col min="5635" max="5637" width="40.77734375" style="10" customWidth="1"/>
    <col min="5638" max="5888" width="8.88671875" style="10"/>
    <col min="5889" max="5889" width="25.77734375" style="10" customWidth="1"/>
    <col min="5890" max="5890" width="15.77734375" style="10" customWidth="1"/>
    <col min="5891" max="5893" width="40.77734375" style="10" customWidth="1"/>
    <col min="5894" max="6144" width="8.88671875" style="10"/>
    <col min="6145" max="6145" width="25.77734375" style="10" customWidth="1"/>
    <col min="6146" max="6146" width="15.77734375" style="10" customWidth="1"/>
    <col min="6147" max="6149" width="40.77734375" style="10" customWidth="1"/>
    <col min="6150" max="6400" width="8.88671875" style="10"/>
    <col min="6401" max="6401" width="25.77734375" style="10" customWidth="1"/>
    <col min="6402" max="6402" width="15.77734375" style="10" customWidth="1"/>
    <col min="6403" max="6405" width="40.77734375" style="10" customWidth="1"/>
    <col min="6406" max="6656" width="8.88671875" style="10"/>
    <col min="6657" max="6657" width="25.77734375" style="10" customWidth="1"/>
    <col min="6658" max="6658" width="15.77734375" style="10" customWidth="1"/>
    <col min="6659" max="6661" width="40.77734375" style="10" customWidth="1"/>
    <col min="6662" max="6912" width="8.88671875" style="10"/>
    <col min="6913" max="6913" width="25.77734375" style="10" customWidth="1"/>
    <col min="6914" max="6914" width="15.77734375" style="10" customWidth="1"/>
    <col min="6915" max="6917" width="40.77734375" style="10" customWidth="1"/>
    <col min="6918" max="7168" width="8.88671875" style="10"/>
    <col min="7169" max="7169" width="25.77734375" style="10" customWidth="1"/>
    <col min="7170" max="7170" width="15.77734375" style="10" customWidth="1"/>
    <col min="7171" max="7173" width="40.77734375" style="10" customWidth="1"/>
    <col min="7174" max="7424" width="8.88671875" style="10"/>
    <col min="7425" max="7425" width="25.77734375" style="10" customWidth="1"/>
    <col min="7426" max="7426" width="15.77734375" style="10" customWidth="1"/>
    <col min="7427" max="7429" width="40.77734375" style="10" customWidth="1"/>
    <col min="7430" max="7680" width="8.88671875" style="10"/>
    <col min="7681" max="7681" width="25.77734375" style="10" customWidth="1"/>
    <col min="7682" max="7682" width="15.77734375" style="10" customWidth="1"/>
    <col min="7683" max="7685" width="40.77734375" style="10" customWidth="1"/>
    <col min="7686" max="7936" width="8.88671875" style="10"/>
    <col min="7937" max="7937" width="25.77734375" style="10" customWidth="1"/>
    <col min="7938" max="7938" width="15.77734375" style="10" customWidth="1"/>
    <col min="7939" max="7941" width="40.77734375" style="10" customWidth="1"/>
    <col min="7942" max="8192" width="8.88671875" style="10"/>
    <col min="8193" max="8193" width="25.77734375" style="10" customWidth="1"/>
    <col min="8194" max="8194" width="15.77734375" style="10" customWidth="1"/>
    <col min="8195" max="8197" width="40.77734375" style="10" customWidth="1"/>
    <col min="8198" max="8448" width="8.88671875" style="10"/>
    <col min="8449" max="8449" width="25.77734375" style="10" customWidth="1"/>
    <col min="8450" max="8450" width="15.77734375" style="10" customWidth="1"/>
    <col min="8451" max="8453" width="40.77734375" style="10" customWidth="1"/>
    <col min="8454" max="8704" width="8.88671875" style="10"/>
    <col min="8705" max="8705" width="25.77734375" style="10" customWidth="1"/>
    <col min="8706" max="8706" width="15.77734375" style="10" customWidth="1"/>
    <col min="8707" max="8709" width="40.77734375" style="10" customWidth="1"/>
    <col min="8710" max="8960" width="8.88671875" style="10"/>
    <col min="8961" max="8961" width="25.77734375" style="10" customWidth="1"/>
    <col min="8962" max="8962" width="15.77734375" style="10" customWidth="1"/>
    <col min="8963" max="8965" width="40.77734375" style="10" customWidth="1"/>
    <col min="8966" max="9216" width="8.88671875" style="10"/>
    <col min="9217" max="9217" width="25.77734375" style="10" customWidth="1"/>
    <col min="9218" max="9218" width="15.77734375" style="10" customWidth="1"/>
    <col min="9219" max="9221" width="40.77734375" style="10" customWidth="1"/>
    <col min="9222" max="9472" width="8.88671875" style="10"/>
    <col min="9473" max="9473" width="25.77734375" style="10" customWidth="1"/>
    <col min="9474" max="9474" width="15.77734375" style="10" customWidth="1"/>
    <col min="9475" max="9477" width="40.77734375" style="10" customWidth="1"/>
    <col min="9478" max="9728" width="8.88671875" style="10"/>
    <col min="9729" max="9729" width="25.77734375" style="10" customWidth="1"/>
    <col min="9730" max="9730" width="15.77734375" style="10" customWidth="1"/>
    <col min="9731" max="9733" width="40.77734375" style="10" customWidth="1"/>
    <col min="9734" max="9984" width="8.88671875" style="10"/>
    <col min="9985" max="9985" width="25.77734375" style="10" customWidth="1"/>
    <col min="9986" max="9986" width="15.77734375" style="10" customWidth="1"/>
    <col min="9987" max="9989" width="40.77734375" style="10" customWidth="1"/>
    <col min="9990" max="10240" width="8.88671875" style="10"/>
    <col min="10241" max="10241" width="25.77734375" style="10" customWidth="1"/>
    <col min="10242" max="10242" width="15.77734375" style="10" customWidth="1"/>
    <col min="10243" max="10245" width="40.77734375" style="10" customWidth="1"/>
    <col min="10246" max="10496" width="8.88671875" style="10"/>
    <col min="10497" max="10497" width="25.77734375" style="10" customWidth="1"/>
    <col min="10498" max="10498" width="15.77734375" style="10" customWidth="1"/>
    <col min="10499" max="10501" width="40.77734375" style="10" customWidth="1"/>
    <col min="10502" max="10752" width="8.88671875" style="10"/>
    <col min="10753" max="10753" width="25.77734375" style="10" customWidth="1"/>
    <col min="10754" max="10754" width="15.77734375" style="10" customWidth="1"/>
    <col min="10755" max="10757" width="40.77734375" style="10" customWidth="1"/>
    <col min="10758" max="11008" width="8.88671875" style="10"/>
    <col min="11009" max="11009" width="25.77734375" style="10" customWidth="1"/>
    <col min="11010" max="11010" width="15.77734375" style="10" customWidth="1"/>
    <col min="11011" max="11013" width="40.77734375" style="10" customWidth="1"/>
    <col min="11014" max="11264" width="8.88671875" style="10"/>
    <col min="11265" max="11265" width="25.77734375" style="10" customWidth="1"/>
    <col min="11266" max="11266" width="15.77734375" style="10" customWidth="1"/>
    <col min="11267" max="11269" width="40.77734375" style="10" customWidth="1"/>
    <col min="11270" max="11520" width="8.88671875" style="10"/>
    <col min="11521" max="11521" width="25.77734375" style="10" customWidth="1"/>
    <col min="11522" max="11522" width="15.77734375" style="10" customWidth="1"/>
    <col min="11523" max="11525" width="40.77734375" style="10" customWidth="1"/>
    <col min="11526" max="11776" width="8.88671875" style="10"/>
    <col min="11777" max="11777" width="25.77734375" style="10" customWidth="1"/>
    <col min="11778" max="11778" width="15.77734375" style="10" customWidth="1"/>
    <col min="11779" max="11781" width="40.77734375" style="10" customWidth="1"/>
    <col min="11782" max="12032" width="8.88671875" style="10"/>
    <col min="12033" max="12033" width="25.77734375" style="10" customWidth="1"/>
    <col min="12034" max="12034" width="15.77734375" style="10" customWidth="1"/>
    <col min="12035" max="12037" width="40.77734375" style="10" customWidth="1"/>
    <col min="12038" max="12288" width="8.88671875" style="10"/>
    <col min="12289" max="12289" width="25.77734375" style="10" customWidth="1"/>
    <col min="12290" max="12290" width="15.77734375" style="10" customWidth="1"/>
    <col min="12291" max="12293" width="40.77734375" style="10" customWidth="1"/>
    <col min="12294" max="12544" width="8.88671875" style="10"/>
    <col min="12545" max="12545" width="25.77734375" style="10" customWidth="1"/>
    <col min="12546" max="12546" width="15.77734375" style="10" customWidth="1"/>
    <col min="12547" max="12549" width="40.77734375" style="10" customWidth="1"/>
    <col min="12550" max="12800" width="8.88671875" style="10"/>
    <col min="12801" max="12801" width="25.77734375" style="10" customWidth="1"/>
    <col min="12802" max="12802" width="15.77734375" style="10" customWidth="1"/>
    <col min="12803" max="12805" width="40.77734375" style="10" customWidth="1"/>
    <col min="12806" max="13056" width="8.88671875" style="10"/>
    <col min="13057" max="13057" width="25.77734375" style="10" customWidth="1"/>
    <col min="13058" max="13058" width="15.77734375" style="10" customWidth="1"/>
    <col min="13059" max="13061" width="40.77734375" style="10" customWidth="1"/>
    <col min="13062" max="13312" width="8.88671875" style="10"/>
    <col min="13313" max="13313" width="25.77734375" style="10" customWidth="1"/>
    <col min="13314" max="13314" width="15.77734375" style="10" customWidth="1"/>
    <col min="13315" max="13317" width="40.77734375" style="10" customWidth="1"/>
    <col min="13318" max="13568" width="8.88671875" style="10"/>
    <col min="13569" max="13569" width="25.77734375" style="10" customWidth="1"/>
    <col min="13570" max="13570" width="15.77734375" style="10" customWidth="1"/>
    <col min="13571" max="13573" width="40.77734375" style="10" customWidth="1"/>
    <col min="13574" max="13824" width="8.88671875" style="10"/>
    <col min="13825" max="13825" width="25.77734375" style="10" customWidth="1"/>
    <col min="13826" max="13826" width="15.77734375" style="10" customWidth="1"/>
    <col min="13827" max="13829" width="40.77734375" style="10" customWidth="1"/>
    <col min="13830" max="14080" width="8.88671875" style="10"/>
    <col min="14081" max="14081" width="25.77734375" style="10" customWidth="1"/>
    <col min="14082" max="14082" width="15.77734375" style="10" customWidth="1"/>
    <col min="14083" max="14085" width="40.77734375" style="10" customWidth="1"/>
    <col min="14086" max="14336" width="8.88671875" style="10"/>
    <col min="14337" max="14337" width="25.77734375" style="10" customWidth="1"/>
    <col min="14338" max="14338" width="15.77734375" style="10" customWidth="1"/>
    <col min="14339" max="14341" width="40.77734375" style="10" customWidth="1"/>
    <col min="14342" max="14592" width="8.88671875" style="10"/>
    <col min="14593" max="14593" width="25.77734375" style="10" customWidth="1"/>
    <col min="14594" max="14594" width="15.77734375" style="10" customWidth="1"/>
    <col min="14595" max="14597" width="40.77734375" style="10" customWidth="1"/>
    <col min="14598" max="14848" width="8.88671875" style="10"/>
    <col min="14849" max="14849" width="25.77734375" style="10" customWidth="1"/>
    <col min="14850" max="14850" width="15.77734375" style="10" customWidth="1"/>
    <col min="14851" max="14853" width="40.77734375" style="10" customWidth="1"/>
    <col min="14854" max="15104" width="8.88671875" style="10"/>
    <col min="15105" max="15105" width="25.77734375" style="10" customWidth="1"/>
    <col min="15106" max="15106" width="15.77734375" style="10" customWidth="1"/>
    <col min="15107" max="15109" width="40.77734375" style="10" customWidth="1"/>
    <col min="15110" max="15360" width="8.88671875" style="10"/>
    <col min="15361" max="15361" width="25.77734375" style="10" customWidth="1"/>
    <col min="15362" max="15362" width="15.77734375" style="10" customWidth="1"/>
    <col min="15363" max="15365" width="40.77734375" style="10" customWidth="1"/>
    <col min="15366" max="15616" width="8.88671875" style="10"/>
    <col min="15617" max="15617" width="25.77734375" style="10" customWidth="1"/>
    <col min="15618" max="15618" width="15.77734375" style="10" customWidth="1"/>
    <col min="15619" max="15621" width="40.77734375" style="10" customWidth="1"/>
    <col min="15622" max="15872" width="8.88671875" style="10"/>
    <col min="15873" max="15873" width="25.77734375" style="10" customWidth="1"/>
    <col min="15874" max="15874" width="15.77734375" style="10" customWidth="1"/>
    <col min="15875" max="15877" width="40.77734375" style="10" customWidth="1"/>
    <col min="15878" max="16128" width="8.88671875" style="10"/>
    <col min="16129" max="16129" width="25.77734375" style="10" customWidth="1"/>
    <col min="16130" max="16130" width="15.77734375" style="10" customWidth="1"/>
    <col min="16131" max="16133" width="40.77734375" style="10" customWidth="1"/>
    <col min="16134" max="16384" width="8.88671875" style="10"/>
  </cols>
  <sheetData>
    <row r="6" spans="1:5" ht="16.5" customHeight="1" x14ac:dyDescent="0.25">
      <c r="A6" s="9" t="s">
        <v>1957</v>
      </c>
    </row>
    <row r="8" spans="1:5" ht="66" customHeight="1" x14ac:dyDescent="0.35">
      <c r="A8" s="11" t="s">
        <v>0</v>
      </c>
      <c r="B8" s="11" t="s">
        <v>1958</v>
      </c>
      <c r="C8" s="11" t="s">
        <v>4</v>
      </c>
      <c r="D8" s="11" t="s">
        <v>1959</v>
      </c>
      <c r="E8" s="11" t="s">
        <v>1960</v>
      </c>
    </row>
    <row r="9" spans="1:5" ht="51" x14ac:dyDescent="0.2">
      <c r="A9" s="12" t="s">
        <v>18</v>
      </c>
      <c r="B9" s="12" t="s">
        <v>1961</v>
      </c>
      <c r="C9" s="12" t="s">
        <v>22</v>
      </c>
      <c r="D9" s="13" t="s">
        <v>91</v>
      </c>
      <c r="E9" s="13" t="s">
        <v>1962</v>
      </c>
    </row>
    <row r="10" spans="1:5" ht="51" x14ac:dyDescent="0.2">
      <c r="A10" s="12" t="s">
        <v>25</v>
      </c>
      <c r="B10" s="12" t="s">
        <v>1963</v>
      </c>
      <c r="C10" s="12" t="s">
        <v>22</v>
      </c>
      <c r="D10" s="13" t="s">
        <v>91</v>
      </c>
      <c r="E10" s="13" t="s">
        <v>1964</v>
      </c>
    </row>
    <row r="11" spans="1:5" ht="61.2" x14ac:dyDescent="0.2">
      <c r="A11" s="12" t="s">
        <v>30</v>
      </c>
      <c r="B11" s="12" t="s">
        <v>1965</v>
      </c>
      <c r="C11" s="12" t="s">
        <v>22</v>
      </c>
      <c r="D11" s="13" t="s">
        <v>91</v>
      </c>
      <c r="E11" s="13" t="s">
        <v>1966</v>
      </c>
    </row>
    <row r="12" spans="1:5" ht="51" x14ac:dyDescent="0.2">
      <c r="A12" s="12" t="s">
        <v>35</v>
      </c>
      <c r="B12" s="12" t="s">
        <v>1967</v>
      </c>
      <c r="C12" s="12" t="s">
        <v>22</v>
      </c>
      <c r="D12" s="13" t="s">
        <v>91</v>
      </c>
      <c r="E12" s="13" t="s">
        <v>1968</v>
      </c>
    </row>
    <row r="13" spans="1:5" ht="61.2" x14ac:dyDescent="0.2">
      <c r="A13" s="12" t="s">
        <v>39</v>
      </c>
      <c r="B13" s="12" t="s">
        <v>1969</v>
      </c>
      <c r="C13" s="12" t="s">
        <v>22</v>
      </c>
      <c r="D13" s="13" t="s">
        <v>91</v>
      </c>
      <c r="E13" s="13" t="s">
        <v>1970</v>
      </c>
    </row>
    <row r="14" spans="1:5" ht="51" x14ac:dyDescent="0.2">
      <c r="A14" s="12" t="s">
        <v>45</v>
      </c>
      <c r="B14" s="12" t="s">
        <v>1971</v>
      </c>
      <c r="C14" s="12" t="s">
        <v>22</v>
      </c>
      <c r="D14" s="13" t="s">
        <v>91</v>
      </c>
      <c r="E14" s="13" t="s">
        <v>1972</v>
      </c>
    </row>
    <row r="15" spans="1:5" ht="61.2" x14ac:dyDescent="0.2">
      <c r="A15" s="12" t="s">
        <v>50</v>
      </c>
      <c r="B15" s="12" t="s">
        <v>1973</v>
      </c>
      <c r="C15" s="12" t="s">
        <v>22</v>
      </c>
      <c r="D15" s="13" t="s">
        <v>91</v>
      </c>
      <c r="E15" s="13" t="s">
        <v>1974</v>
      </c>
    </row>
    <row r="16" spans="1:5" ht="51" x14ac:dyDescent="0.2">
      <c r="A16" s="12" t="s">
        <v>55</v>
      </c>
      <c r="B16" s="12" t="s">
        <v>1975</v>
      </c>
      <c r="C16" s="12" t="s">
        <v>22</v>
      </c>
      <c r="D16" s="13" t="s">
        <v>91</v>
      </c>
      <c r="E16" s="13" t="s">
        <v>1976</v>
      </c>
    </row>
    <row r="17" spans="1:5" ht="51" x14ac:dyDescent="0.2">
      <c r="A17" s="12" t="s">
        <v>59</v>
      </c>
      <c r="B17" s="12" t="s">
        <v>1977</v>
      </c>
      <c r="C17" s="12" t="s">
        <v>22</v>
      </c>
      <c r="D17" s="13" t="s">
        <v>91</v>
      </c>
      <c r="E17" s="13" t="s">
        <v>1978</v>
      </c>
    </row>
    <row r="18" spans="1:5" ht="51" x14ac:dyDescent="0.2">
      <c r="A18" s="12" t="s">
        <v>64</v>
      </c>
      <c r="B18" s="12" t="s">
        <v>1979</v>
      </c>
      <c r="C18" s="12" t="s">
        <v>22</v>
      </c>
      <c r="D18" s="13" t="s">
        <v>91</v>
      </c>
      <c r="E18" s="13" t="s">
        <v>1980</v>
      </c>
    </row>
    <row r="19" spans="1:5" ht="61.2" x14ac:dyDescent="0.2">
      <c r="A19" s="12" t="s">
        <v>69</v>
      </c>
      <c r="B19" s="12" t="s">
        <v>1981</v>
      </c>
      <c r="C19" s="12" t="s">
        <v>22</v>
      </c>
      <c r="D19" s="13" t="s">
        <v>91</v>
      </c>
      <c r="E19" s="13" t="s">
        <v>1982</v>
      </c>
    </row>
    <row r="20" spans="1:5" ht="71.400000000000006" x14ac:dyDescent="0.2">
      <c r="A20" s="12" t="s">
        <v>73</v>
      </c>
      <c r="B20" s="12" t="s">
        <v>1983</v>
      </c>
      <c r="C20" s="12" t="s">
        <v>22</v>
      </c>
      <c r="D20" s="13" t="s">
        <v>91</v>
      </c>
      <c r="E20" s="13" t="s">
        <v>1984</v>
      </c>
    </row>
    <row r="21" spans="1:5" ht="61.2" x14ac:dyDescent="0.2">
      <c r="A21" s="12" t="s">
        <v>77</v>
      </c>
      <c r="B21" s="12" t="s">
        <v>1985</v>
      </c>
      <c r="C21" s="12" t="s">
        <v>22</v>
      </c>
      <c r="D21" s="13" t="s">
        <v>91</v>
      </c>
      <c r="E21" s="13" t="s">
        <v>1986</v>
      </c>
    </row>
    <row r="22" spans="1:5" ht="61.2" x14ac:dyDescent="0.2">
      <c r="A22" s="12" t="s">
        <v>82</v>
      </c>
      <c r="B22" s="12" t="s">
        <v>1987</v>
      </c>
      <c r="C22" s="12" t="s">
        <v>22</v>
      </c>
      <c r="D22" s="13" t="s">
        <v>91</v>
      </c>
      <c r="E22" s="13" t="s">
        <v>1988</v>
      </c>
    </row>
    <row r="23" spans="1:5" ht="51" x14ac:dyDescent="0.2">
      <c r="A23" s="12" t="s">
        <v>86</v>
      </c>
      <c r="B23" s="12" t="s">
        <v>1989</v>
      </c>
      <c r="C23" s="12" t="s">
        <v>22</v>
      </c>
      <c r="D23" s="13" t="s">
        <v>91</v>
      </c>
      <c r="E23" s="13" t="s">
        <v>1990</v>
      </c>
    </row>
    <row r="24" spans="1:5" ht="51" x14ac:dyDescent="0.2">
      <c r="A24" s="12" t="s">
        <v>92</v>
      </c>
      <c r="B24" s="12" t="s">
        <v>1991</v>
      </c>
      <c r="C24" s="12" t="s">
        <v>22</v>
      </c>
      <c r="D24" s="13" t="s">
        <v>1992</v>
      </c>
      <c r="E24" s="13" t="s">
        <v>1993</v>
      </c>
    </row>
    <row r="25" spans="1:5" ht="51" x14ac:dyDescent="0.2">
      <c r="A25" s="12" t="s">
        <v>97</v>
      </c>
      <c r="B25" s="12" t="s">
        <v>1994</v>
      </c>
      <c r="C25" s="12" t="s">
        <v>22</v>
      </c>
      <c r="D25" s="13" t="s">
        <v>91</v>
      </c>
      <c r="E25" s="13" t="s">
        <v>1995</v>
      </c>
    </row>
    <row r="26" spans="1:5" ht="51" x14ac:dyDescent="0.2">
      <c r="A26" s="12" t="s">
        <v>102</v>
      </c>
      <c r="B26" s="12" t="s">
        <v>1996</v>
      </c>
      <c r="C26" s="12" t="s">
        <v>22</v>
      </c>
      <c r="D26" s="13" t="s">
        <v>91</v>
      </c>
      <c r="E26" s="13" t="s">
        <v>1997</v>
      </c>
    </row>
    <row r="27" spans="1:5" ht="51" x14ac:dyDescent="0.2">
      <c r="A27" s="12" t="s">
        <v>106</v>
      </c>
      <c r="B27" s="12" t="s">
        <v>1998</v>
      </c>
      <c r="C27" s="12" t="s">
        <v>22</v>
      </c>
      <c r="D27" s="13" t="s">
        <v>91</v>
      </c>
      <c r="E27" s="13" t="s">
        <v>1999</v>
      </c>
    </row>
    <row r="28" spans="1:5" ht="51" x14ac:dyDescent="0.2">
      <c r="A28" s="12" t="s">
        <v>110</v>
      </c>
      <c r="B28" s="12" t="s">
        <v>2000</v>
      </c>
      <c r="C28" s="12" t="s">
        <v>22</v>
      </c>
      <c r="D28" s="13" t="s">
        <v>91</v>
      </c>
      <c r="E28" s="13" t="s">
        <v>2001</v>
      </c>
    </row>
    <row r="29" spans="1:5" ht="51" x14ac:dyDescent="0.2">
      <c r="A29" s="12" t="s">
        <v>114</v>
      </c>
      <c r="B29" s="12" t="s">
        <v>2002</v>
      </c>
      <c r="C29" s="12" t="s">
        <v>22</v>
      </c>
      <c r="D29" s="13" t="s">
        <v>91</v>
      </c>
      <c r="E29" s="13" t="s">
        <v>2003</v>
      </c>
    </row>
    <row r="30" spans="1:5" ht="51" x14ac:dyDescent="0.2">
      <c r="A30" s="12" t="s">
        <v>118</v>
      </c>
      <c r="B30" s="12" t="s">
        <v>2004</v>
      </c>
      <c r="C30" s="12" t="s">
        <v>22</v>
      </c>
      <c r="D30" s="13" t="s">
        <v>91</v>
      </c>
      <c r="E30" s="13" t="s">
        <v>2005</v>
      </c>
    </row>
    <row r="31" spans="1:5" ht="61.2" x14ac:dyDescent="0.2">
      <c r="A31" s="12" t="s">
        <v>122</v>
      </c>
      <c r="B31" s="12" t="s">
        <v>2006</v>
      </c>
      <c r="C31" s="12" t="s">
        <v>22</v>
      </c>
      <c r="D31" s="13" t="s">
        <v>91</v>
      </c>
      <c r="E31" s="13" t="s">
        <v>2007</v>
      </c>
    </row>
    <row r="32" spans="1:5" ht="51" x14ac:dyDescent="0.2">
      <c r="A32" s="12" t="s">
        <v>126</v>
      </c>
      <c r="B32" s="12" t="s">
        <v>2008</v>
      </c>
      <c r="C32" s="12" t="s">
        <v>22</v>
      </c>
      <c r="D32" s="13" t="s">
        <v>91</v>
      </c>
      <c r="E32" s="13" t="s">
        <v>2009</v>
      </c>
    </row>
    <row r="33" spans="1:5" ht="51" x14ac:dyDescent="0.2">
      <c r="A33" s="12" t="s">
        <v>130</v>
      </c>
      <c r="B33" s="12" t="s">
        <v>2010</v>
      </c>
      <c r="C33" s="12" t="s">
        <v>22</v>
      </c>
      <c r="D33" s="13" t="s">
        <v>91</v>
      </c>
      <c r="E33" s="13" t="s">
        <v>2011</v>
      </c>
    </row>
    <row r="34" spans="1:5" ht="51" x14ac:dyDescent="0.2">
      <c r="A34" s="12" t="s">
        <v>134</v>
      </c>
      <c r="B34" s="12" t="s">
        <v>2012</v>
      </c>
      <c r="C34" s="12" t="s">
        <v>22</v>
      </c>
      <c r="D34" s="13" t="s">
        <v>91</v>
      </c>
      <c r="E34" s="13" t="s">
        <v>2013</v>
      </c>
    </row>
    <row r="35" spans="1:5" ht="61.2" x14ac:dyDescent="0.2">
      <c r="A35" s="12" t="s">
        <v>138</v>
      </c>
      <c r="B35" s="12" t="s">
        <v>2014</v>
      </c>
      <c r="C35" s="12" t="s">
        <v>22</v>
      </c>
      <c r="D35" s="13" t="s">
        <v>91</v>
      </c>
      <c r="E35" s="13" t="s">
        <v>2015</v>
      </c>
    </row>
    <row r="36" spans="1:5" ht="61.2" x14ac:dyDescent="0.2">
      <c r="A36" s="12" t="s">
        <v>142</v>
      </c>
      <c r="B36" s="12" t="s">
        <v>2016</v>
      </c>
      <c r="C36" s="12" t="s">
        <v>22</v>
      </c>
      <c r="D36" s="13" t="s">
        <v>91</v>
      </c>
      <c r="E36" s="13" t="s">
        <v>2017</v>
      </c>
    </row>
    <row r="37" spans="1:5" ht="51" x14ac:dyDescent="0.2">
      <c r="A37" s="12" t="s">
        <v>146</v>
      </c>
      <c r="B37" s="12" t="s">
        <v>2018</v>
      </c>
      <c r="C37" s="12" t="s">
        <v>22</v>
      </c>
      <c r="D37" s="13" t="s">
        <v>91</v>
      </c>
      <c r="E37" s="13" t="s">
        <v>2019</v>
      </c>
    </row>
    <row r="38" spans="1:5" ht="61.2" x14ac:dyDescent="0.2">
      <c r="A38" s="12" t="s">
        <v>150</v>
      </c>
      <c r="B38" s="12" t="s">
        <v>2020</v>
      </c>
      <c r="C38" s="12" t="s">
        <v>22</v>
      </c>
      <c r="D38" s="13" t="s">
        <v>91</v>
      </c>
      <c r="E38" s="13" t="s">
        <v>2021</v>
      </c>
    </row>
    <row r="39" spans="1:5" ht="61.2" x14ac:dyDescent="0.2">
      <c r="A39" s="12" t="s">
        <v>155</v>
      </c>
      <c r="B39" s="12" t="s">
        <v>2022</v>
      </c>
      <c r="C39" s="12" t="s">
        <v>22</v>
      </c>
      <c r="D39" s="13" t="s">
        <v>91</v>
      </c>
      <c r="E39" s="13" t="s">
        <v>2023</v>
      </c>
    </row>
    <row r="40" spans="1:5" ht="51" x14ac:dyDescent="0.2">
      <c r="A40" s="12" t="s">
        <v>159</v>
      </c>
      <c r="B40" s="12" t="s">
        <v>2024</v>
      </c>
      <c r="C40" s="12" t="s">
        <v>22</v>
      </c>
      <c r="D40" s="13" t="s">
        <v>91</v>
      </c>
      <c r="E40" s="13" t="s">
        <v>2025</v>
      </c>
    </row>
    <row r="41" spans="1:5" ht="61.2" x14ac:dyDescent="0.2">
      <c r="A41" s="12" t="s">
        <v>163</v>
      </c>
      <c r="B41" s="12" t="s">
        <v>2026</v>
      </c>
      <c r="C41" s="12" t="s">
        <v>22</v>
      </c>
      <c r="D41" s="13" t="s">
        <v>91</v>
      </c>
      <c r="E41" s="13" t="s">
        <v>2027</v>
      </c>
    </row>
    <row r="42" spans="1:5" ht="51" x14ac:dyDescent="0.2">
      <c r="A42" s="12" t="s">
        <v>167</v>
      </c>
      <c r="B42" s="12" t="s">
        <v>2028</v>
      </c>
      <c r="C42" s="12" t="s">
        <v>22</v>
      </c>
      <c r="D42" s="13" t="s">
        <v>91</v>
      </c>
      <c r="E42" s="13" t="s">
        <v>2029</v>
      </c>
    </row>
    <row r="43" spans="1:5" ht="61.2" x14ac:dyDescent="0.2">
      <c r="A43" s="12" t="s">
        <v>171</v>
      </c>
      <c r="B43" s="12" t="s">
        <v>2030</v>
      </c>
      <c r="C43" s="12" t="s">
        <v>22</v>
      </c>
      <c r="D43" s="13" t="s">
        <v>91</v>
      </c>
      <c r="E43" s="13" t="s">
        <v>2031</v>
      </c>
    </row>
    <row r="44" spans="1:5" ht="61.2" x14ac:dyDescent="0.2">
      <c r="A44" s="12" t="s">
        <v>175</v>
      </c>
      <c r="B44" s="12" t="s">
        <v>2032</v>
      </c>
      <c r="C44" s="12" t="s">
        <v>22</v>
      </c>
      <c r="D44" s="13" t="s">
        <v>91</v>
      </c>
      <c r="E44" s="13" t="s">
        <v>2033</v>
      </c>
    </row>
    <row r="45" spans="1:5" ht="61.2" x14ac:dyDescent="0.2">
      <c r="A45" s="12" t="s">
        <v>179</v>
      </c>
      <c r="B45" s="12" t="s">
        <v>2034</v>
      </c>
      <c r="C45" s="12" t="s">
        <v>22</v>
      </c>
      <c r="D45" s="13" t="s">
        <v>91</v>
      </c>
      <c r="E45" s="13" t="s">
        <v>2035</v>
      </c>
    </row>
    <row r="46" spans="1:5" ht="51" x14ac:dyDescent="0.2">
      <c r="A46" s="12" t="s">
        <v>183</v>
      </c>
      <c r="B46" s="12" t="s">
        <v>2036</v>
      </c>
      <c r="C46" s="12" t="s">
        <v>22</v>
      </c>
      <c r="D46" s="13" t="s">
        <v>91</v>
      </c>
      <c r="E46" s="13" t="s">
        <v>2037</v>
      </c>
    </row>
    <row r="47" spans="1:5" ht="51" x14ac:dyDescent="0.2">
      <c r="A47" s="12" t="s">
        <v>187</v>
      </c>
      <c r="B47" s="12" t="s">
        <v>2038</v>
      </c>
      <c r="C47" s="12" t="s">
        <v>22</v>
      </c>
      <c r="D47" s="13" t="s">
        <v>91</v>
      </c>
      <c r="E47" s="13" t="s">
        <v>2039</v>
      </c>
    </row>
    <row r="48" spans="1:5" ht="51" x14ac:dyDescent="0.2">
      <c r="A48" s="12" t="s">
        <v>191</v>
      </c>
      <c r="B48" s="12" t="s">
        <v>2040</v>
      </c>
      <c r="C48" s="12" t="s">
        <v>22</v>
      </c>
      <c r="D48" s="13" t="s">
        <v>91</v>
      </c>
      <c r="E48" s="13" t="s">
        <v>2041</v>
      </c>
    </row>
    <row r="49" spans="1:5" ht="61.2" x14ac:dyDescent="0.2">
      <c r="A49" s="12" t="s">
        <v>195</v>
      </c>
      <c r="B49" s="12" t="s">
        <v>2042</v>
      </c>
      <c r="C49" s="12" t="s">
        <v>22</v>
      </c>
      <c r="D49" s="13" t="s">
        <v>91</v>
      </c>
      <c r="E49" s="13" t="s">
        <v>2043</v>
      </c>
    </row>
    <row r="50" spans="1:5" ht="61.2" x14ac:dyDescent="0.2">
      <c r="A50" s="12" t="s">
        <v>199</v>
      </c>
      <c r="B50" s="12" t="s">
        <v>2044</v>
      </c>
      <c r="C50" s="12" t="s">
        <v>22</v>
      </c>
      <c r="D50" s="13" t="s">
        <v>91</v>
      </c>
      <c r="E50" s="13" t="s">
        <v>2045</v>
      </c>
    </row>
    <row r="51" spans="1:5" ht="51" x14ac:dyDescent="0.2">
      <c r="A51" s="12" t="s">
        <v>203</v>
      </c>
      <c r="B51" s="12" t="s">
        <v>2046</v>
      </c>
      <c r="C51" s="12" t="s">
        <v>22</v>
      </c>
      <c r="D51" s="13" t="s">
        <v>91</v>
      </c>
      <c r="E51" s="13" t="s">
        <v>2047</v>
      </c>
    </row>
    <row r="52" spans="1:5" ht="51" x14ac:dyDescent="0.2">
      <c r="A52" s="12" t="s">
        <v>207</v>
      </c>
      <c r="B52" s="12" t="s">
        <v>2048</v>
      </c>
      <c r="C52" s="12" t="s">
        <v>22</v>
      </c>
      <c r="D52" s="13" t="s">
        <v>91</v>
      </c>
      <c r="E52" s="13" t="s">
        <v>2049</v>
      </c>
    </row>
    <row r="53" spans="1:5" ht="71.400000000000006" x14ac:dyDescent="0.2">
      <c r="A53" s="12" t="s">
        <v>211</v>
      </c>
      <c r="B53" s="12" t="s">
        <v>2050</v>
      </c>
      <c r="C53" s="12" t="s">
        <v>22</v>
      </c>
      <c r="D53" s="13" t="s">
        <v>91</v>
      </c>
      <c r="E53" s="13" t="s">
        <v>2051</v>
      </c>
    </row>
    <row r="54" spans="1:5" ht="51" x14ac:dyDescent="0.2">
      <c r="A54" s="12" t="s">
        <v>215</v>
      </c>
      <c r="B54" s="12" t="s">
        <v>2052</v>
      </c>
      <c r="C54" s="12" t="s">
        <v>22</v>
      </c>
      <c r="D54" s="13" t="s">
        <v>91</v>
      </c>
      <c r="E54" s="13" t="s">
        <v>2053</v>
      </c>
    </row>
    <row r="55" spans="1:5" ht="51" x14ac:dyDescent="0.2">
      <c r="A55" s="12" t="s">
        <v>219</v>
      </c>
      <c r="B55" s="12" t="s">
        <v>2054</v>
      </c>
      <c r="C55" s="12" t="s">
        <v>22</v>
      </c>
      <c r="D55" s="13" t="s">
        <v>91</v>
      </c>
      <c r="E55" s="13" t="s">
        <v>2055</v>
      </c>
    </row>
    <row r="56" spans="1:5" ht="61.2" x14ac:dyDescent="0.2">
      <c r="A56" s="12" t="s">
        <v>223</v>
      </c>
      <c r="B56" s="12" t="s">
        <v>2056</v>
      </c>
      <c r="C56" s="12" t="s">
        <v>22</v>
      </c>
      <c r="D56" s="13" t="s">
        <v>91</v>
      </c>
      <c r="E56" s="13" t="s">
        <v>2057</v>
      </c>
    </row>
    <row r="57" spans="1:5" ht="51" x14ac:dyDescent="0.2">
      <c r="A57" s="12" t="s">
        <v>227</v>
      </c>
      <c r="B57" s="12" t="s">
        <v>2058</v>
      </c>
      <c r="C57" s="12" t="s">
        <v>22</v>
      </c>
      <c r="D57" s="13" t="s">
        <v>91</v>
      </c>
      <c r="E57" s="13" t="s">
        <v>2059</v>
      </c>
    </row>
    <row r="58" spans="1:5" ht="61.2" x14ac:dyDescent="0.2">
      <c r="A58" s="12" t="s">
        <v>231</v>
      </c>
      <c r="B58" s="12" t="s">
        <v>2060</v>
      </c>
      <c r="C58" s="12" t="s">
        <v>22</v>
      </c>
      <c r="D58" s="13" t="s">
        <v>91</v>
      </c>
      <c r="E58" s="13" t="s">
        <v>2061</v>
      </c>
    </row>
    <row r="59" spans="1:5" ht="51" x14ac:dyDescent="0.2">
      <c r="A59" s="12" t="s">
        <v>235</v>
      </c>
      <c r="B59" s="12" t="s">
        <v>2062</v>
      </c>
      <c r="C59" s="12" t="s">
        <v>22</v>
      </c>
      <c r="D59" s="13" t="s">
        <v>91</v>
      </c>
      <c r="E59" s="13" t="s">
        <v>2063</v>
      </c>
    </row>
    <row r="60" spans="1:5" ht="51" x14ac:dyDescent="0.2">
      <c r="A60" s="12" t="s">
        <v>239</v>
      </c>
      <c r="B60" s="12" t="s">
        <v>2064</v>
      </c>
      <c r="C60" s="12" t="s">
        <v>22</v>
      </c>
      <c r="D60" s="13" t="s">
        <v>91</v>
      </c>
      <c r="E60" s="13" t="s">
        <v>2065</v>
      </c>
    </row>
    <row r="61" spans="1:5" ht="51" x14ac:dyDescent="0.2">
      <c r="A61" s="12" t="s">
        <v>243</v>
      </c>
      <c r="B61" s="12" t="s">
        <v>2066</v>
      </c>
      <c r="C61" s="12" t="s">
        <v>91</v>
      </c>
      <c r="D61" s="13" t="s">
        <v>2067</v>
      </c>
      <c r="E61" s="13" t="s">
        <v>2068</v>
      </c>
    </row>
    <row r="62" spans="1:5" ht="51" x14ac:dyDescent="0.2">
      <c r="A62" s="12" t="s">
        <v>247</v>
      </c>
      <c r="B62" s="12" t="s">
        <v>2069</v>
      </c>
      <c r="C62" s="12" t="s">
        <v>22</v>
      </c>
      <c r="D62" s="13" t="s">
        <v>91</v>
      </c>
      <c r="E62" s="13" t="s">
        <v>2070</v>
      </c>
    </row>
    <row r="63" spans="1:5" ht="61.2" x14ac:dyDescent="0.2">
      <c r="A63" s="12" t="s">
        <v>252</v>
      </c>
      <c r="B63" s="12" t="s">
        <v>2071</v>
      </c>
      <c r="C63" s="12" t="s">
        <v>22</v>
      </c>
      <c r="D63" s="13" t="s">
        <v>91</v>
      </c>
      <c r="E63" s="13" t="s">
        <v>2072</v>
      </c>
    </row>
    <row r="64" spans="1:5" ht="51" x14ac:dyDescent="0.2">
      <c r="A64" s="12" t="s">
        <v>256</v>
      </c>
      <c r="B64" s="12" t="s">
        <v>2073</v>
      </c>
      <c r="C64" s="12" t="s">
        <v>22</v>
      </c>
      <c r="D64" s="13" t="s">
        <v>91</v>
      </c>
      <c r="E64" s="13" t="s">
        <v>2074</v>
      </c>
    </row>
    <row r="65" spans="1:5" ht="61.2" x14ac:dyDescent="0.2">
      <c r="A65" s="12" t="s">
        <v>260</v>
      </c>
      <c r="B65" s="12" t="s">
        <v>2075</v>
      </c>
      <c r="C65" s="12" t="s">
        <v>22</v>
      </c>
      <c r="D65" s="13" t="s">
        <v>91</v>
      </c>
      <c r="E65" s="13" t="s">
        <v>2076</v>
      </c>
    </row>
    <row r="66" spans="1:5" ht="71.400000000000006" x14ac:dyDescent="0.2">
      <c r="A66" s="12" t="s">
        <v>264</v>
      </c>
      <c r="B66" s="12" t="s">
        <v>2077</v>
      </c>
      <c r="C66" s="12" t="s">
        <v>22</v>
      </c>
      <c r="D66" s="13" t="s">
        <v>91</v>
      </c>
      <c r="E66" s="13" t="s">
        <v>2078</v>
      </c>
    </row>
    <row r="67" spans="1:5" ht="61.2" x14ac:dyDescent="0.2">
      <c r="A67" s="12" t="s">
        <v>268</v>
      </c>
      <c r="B67" s="12" t="s">
        <v>2079</v>
      </c>
      <c r="C67" s="12" t="s">
        <v>22</v>
      </c>
      <c r="D67" s="13" t="s">
        <v>91</v>
      </c>
      <c r="E67" s="13" t="s">
        <v>2080</v>
      </c>
    </row>
    <row r="68" spans="1:5" ht="51" x14ac:dyDescent="0.2">
      <c r="A68" s="12" t="s">
        <v>272</v>
      </c>
      <c r="B68" s="12" t="s">
        <v>2081</v>
      </c>
      <c r="C68" s="12" t="s">
        <v>22</v>
      </c>
      <c r="D68" s="13" t="s">
        <v>91</v>
      </c>
      <c r="E68" s="13" t="s">
        <v>2082</v>
      </c>
    </row>
    <row r="69" spans="1:5" ht="51" x14ac:dyDescent="0.2">
      <c r="A69" s="12" t="s">
        <v>276</v>
      </c>
      <c r="B69" s="12" t="s">
        <v>2083</v>
      </c>
      <c r="C69" s="12" t="s">
        <v>22</v>
      </c>
      <c r="D69" s="13" t="s">
        <v>91</v>
      </c>
      <c r="E69" s="13" t="s">
        <v>2084</v>
      </c>
    </row>
    <row r="70" spans="1:5" ht="51" x14ac:dyDescent="0.2">
      <c r="A70" s="12" t="s">
        <v>280</v>
      </c>
      <c r="B70" s="12" t="s">
        <v>2085</v>
      </c>
      <c r="C70" s="12" t="s">
        <v>22</v>
      </c>
      <c r="D70" s="13" t="s">
        <v>91</v>
      </c>
      <c r="E70" s="13" t="s">
        <v>2086</v>
      </c>
    </row>
    <row r="71" spans="1:5" ht="51" x14ac:dyDescent="0.2">
      <c r="A71" s="12" t="s">
        <v>284</v>
      </c>
      <c r="B71" s="12" t="s">
        <v>2087</v>
      </c>
      <c r="C71" s="12" t="s">
        <v>22</v>
      </c>
      <c r="D71" s="13" t="s">
        <v>91</v>
      </c>
      <c r="E71" s="13" t="s">
        <v>2088</v>
      </c>
    </row>
    <row r="72" spans="1:5" ht="61.2" x14ac:dyDescent="0.2">
      <c r="A72" s="12" t="s">
        <v>288</v>
      </c>
      <c r="B72" s="12" t="s">
        <v>2089</v>
      </c>
      <c r="C72" s="12" t="s">
        <v>22</v>
      </c>
      <c r="D72" s="13" t="s">
        <v>91</v>
      </c>
      <c r="E72" s="13" t="s">
        <v>2090</v>
      </c>
    </row>
    <row r="73" spans="1:5" ht="51" x14ac:dyDescent="0.2">
      <c r="A73" s="12" t="s">
        <v>292</v>
      </c>
      <c r="B73" s="12" t="s">
        <v>2091</v>
      </c>
      <c r="C73" s="12" t="s">
        <v>22</v>
      </c>
      <c r="D73" s="13" t="s">
        <v>91</v>
      </c>
      <c r="E73" s="13" t="s">
        <v>2092</v>
      </c>
    </row>
    <row r="74" spans="1:5" ht="51" x14ac:dyDescent="0.2">
      <c r="A74" s="12" t="s">
        <v>296</v>
      </c>
      <c r="B74" s="12" t="s">
        <v>2093</v>
      </c>
      <c r="C74" s="12" t="s">
        <v>22</v>
      </c>
      <c r="D74" s="13" t="s">
        <v>91</v>
      </c>
      <c r="E74" s="13" t="s">
        <v>2094</v>
      </c>
    </row>
    <row r="75" spans="1:5" ht="61.2" x14ac:dyDescent="0.2">
      <c r="A75" s="12" t="s">
        <v>300</v>
      </c>
      <c r="B75" s="12" t="s">
        <v>2095</v>
      </c>
      <c r="C75" s="12" t="s">
        <v>22</v>
      </c>
      <c r="D75" s="13" t="s">
        <v>91</v>
      </c>
      <c r="E75" s="13" t="s">
        <v>2096</v>
      </c>
    </row>
    <row r="76" spans="1:5" ht="51" x14ac:dyDescent="0.2">
      <c r="A76" s="12" t="s">
        <v>304</v>
      </c>
      <c r="B76" s="12" t="s">
        <v>2097</v>
      </c>
      <c r="C76" s="12" t="s">
        <v>22</v>
      </c>
      <c r="D76" s="13" t="s">
        <v>91</v>
      </c>
      <c r="E76" s="13" t="s">
        <v>2098</v>
      </c>
    </row>
    <row r="77" spans="1:5" ht="81.599999999999994" x14ac:dyDescent="0.2">
      <c r="A77" s="12" t="s">
        <v>308</v>
      </c>
      <c r="B77" s="12" t="s">
        <v>2099</v>
      </c>
      <c r="C77" s="12" t="s">
        <v>22</v>
      </c>
      <c r="D77" s="13" t="s">
        <v>91</v>
      </c>
      <c r="E77" s="13" t="s">
        <v>2100</v>
      </c>
    </row>
    <row r="78" spans="1:5" ht="51" x14ac:dyDescent="0.2">
      <c r="A78" s="12" t="s">
        <v>312</v>
      </c>
      <c r="B78" s="12" t="s">
        <v>2101</v>
      </c>
      <c r="C78" s="12" t="s">
        <v>22</v>
      </c>
      <c r="D78" s="13" t="s">
        <v>91</v>
      </c>
      <c r="E78" s="13" t="s">
        <v>2102</v>
      </c>
    </row>
    <row r="79" spans="1:5" ht="71.400000000000006" x14ac:dyDescent="0.2">
      <c r="A79" s="12" t="s">
        <v>316</v>
      </c>
      <c r="B79" s="12" t="s">
        <v>2103</v>
      </c>
      <c r="C79" s="12" t="s">
        <v>22</v>
      </c>
      <c r="D79" s="13" t="s">
        <v>91</v>
      </c>
      <c r="E79" s="13" t="s">
        <v>2104</v>
      </c>
    </row>
    <row r="80" spans="1:5" ht="81.599999999999994" x14ac:dyDescent="0.2">
      <c r="A80" s="12" t="s">
        <v>320</v>
      </c>
      <c r="B80" s="12" t="s">
        <v>2105</v>
      </c>
      <c r="C80" s="12" t="s">
        <v>22</v>
      </c>
      <c r="D80" s="13" t="s">
        <v>91</v>
      </c>
      <c r="E80" s="13" t="s">
        <v>2106</v>
      </c>
    </row>
    <row r="81" spans="1:5" ht="51" x14ac:dyDescent="0.2">
      <c r="A81" s="12" t="s">
        <v>324</v>
      </c>
      <c r="B81" s="12" t="s">
        <v>2107</v>
      </c>
      <c r="C81" s="12" t="s">
        <v>22</v>
      </c>
      <c r="D81" s="13" t="s">
        <v>91</v>
      </c>
      <c r="E81" s="13" t="s">
        <v>2108</v>
      </c>
    </row>
    <row r="82" spans="1:5" ht="51" x14ac:dyDescent="0.2">
      <c r="A82" s="12" t="s">
        <v>328</v>
      </c>
      <c r="B82" s="12" t="s">
        <v>2109</v>
      </c>
      <c r="C82" s="12" t="s">
        <v>22</v>
      </c>
      <c r="D82" s="13" t="s">
        <v>91</v>
      </c>
      <c r="E82" s="13" t="s">
        <v>2110</v>
      </c>
    </row>
    <row r="83" spans="1:5" ht="51" x14ac:dyDescent="0.2">
      <c r="A83" s="12" t="s">
        <v>332</v>
      </c>
      <c r="B83" s="12" t="s">
        <v>2111</v>
      </c>
      <c r="C83" s="12" t="s">
        <v>22</v>
      </c>
      <c r="D83" s="13" t="s">
        <v>91</v>
      </c>
      <c r="E83" s="13" t="s">
        <v>2112</v>
      </c>
    </row>
    <row r="84" spans="1:5" ht="51" x14ac:dyDescent="0.2">
      <c r="A84" s="12" t="s">
        <v>336</v>
      </c>
      <c r="B84" s="12" t="s">
        <v>2113</v>
      </c>
      <c r="C84" s="12" t="s">
        <v>22</v>
      </c>
      <c r="D84" s="13" t="s">
        <v>91</v>
      </c>
      <c r="E84" s="13" t="s">
        <v>2114</v>
      </c>
    </row>
    <row r="85" spans="1:5" ht="51" x14ac:dyDescent="0.2">
      <c r="A85" s="12" t="s">
        <v>340</v>
      </c>
      <c r="B85" s="12" t="s">
        <v>2115</v>
      </c>
      <c r="C85" s="12" t="s">
        <v>22</v>
      </c>
      <c r="D85" s="13" t="s">
        <v>91</v>
      </c>
      <c r="E85" s="13" t="s">
        <v>2116</v>
      </c>
    </row>
    <row r="86" spans="1:5" ht="71.400000000000006" x14ac:dyDescent="0.2">
      <c r="A86" s="12" t="s">
        <v>344</v>
      </c>
      <c r="B86" s="12" t="s">
        <v>2117</v>
      </c>
      <c r="C86" s="12" t="s">
        <v>22</v>
      </c>
      <c r="D86" s="13" t="s">
        <v>91</v>
      </c>
      <c r="E86" s="13" t="s">
        <v>2118</v>
      </c>
    </row>
    <row r="87" spans="1:5" ht="61.2" x14ac:dyDescent="0.2">
      <c r="A87" s="12" t="s">
        <v>348</v>
      </c>
      <c r="B87" s="12" t="s">
        <v>2119</v>
      </c>
      <c r="C87" s="12" t="s">
        <v>22</v>
      </c>
      <c r="D87" s="13" t="s">
        <v>91</v>
      </c>
      <c r="E87" s="13" t="s">
        <v>2120</v>
      </c>
    </row>
    <row r="88" spans="1:5" ht="61.2" x14ac:dyDescent="0.2">
      <c r="A88" s="12" t="s">
        <v>353</v>
      </c>
      <c r="B88" s="12" t="s">
        <v>2121</v>
      </c>
      <c r="C88" s="12" t="s">
        <v>22</v>
      </c>
      <c r="D88" s="13" t="s">
        <v>91</v>
      </c>
      <c r="E88" s="13" t="s">
        <v>2122</v>
      </c>
    </row>
    <row r="89" spans="1:5" ht="51" x14ac:dyDescent="0.2">
      <c r="A89" s="12" t="s">
        <v>357</v>
      </c>
      <c r="B89" s="12" t="s">
        <v>2123</v>
      </c>
      <c r="C89" s="12" t="s">
        <v>22</v>
      </c>
      <c r="D89" s="13" t="s">
        <v>91</v>
      </c>
      <c r="E89" s="13" t="s">
        <v>2124</v>
      </c>
    </row>
    <row r="90" spans="1:5" ht="51" x14ac:dyDescent="0.2">
      <c r="A90" s="12" t="s">
        <v>362</v>
      </c>
      <c r="B90" s="12" t="s">
        <v>2125</v>
      </c>
      <c r="C90" s="12" t="s">
        <v>22</v>
      </c>
      <c r="D90" s="13" t="s">
        <v>91</v>
      </c>
      <c r="E90" s="13" t="s">
        <v>2126</v>
      </c>
    </row>
    <row r="91" spans="1:5" ht="61.2" x14ac:dyDescent="0.2">
      <c r="A91" s="12" t="s">
        <v>366</v>
      </c>
      <c r="B91" s="12" t="s">
        <v>2127</v>
      </c>
      <c r="C91" s="12" t="s">
        <v>22</v>
      </c>
      <c r="D91" s="13" t="s">
        <v>91</v>
      </c>
      <c r="E91" s="13" t="s">
        <v>2128</v>
      </c>
    </row>
    <row r="92" spans="1:5" ht="51" x14ac:dyDescent="0.2">
      <c r="A92" s="12" t="s">
        <v>370</v>
      </c>
      <c r="B92" s="12" t="s">
        <v>2129</v>
      </c>
      <c r="C92" s="12" t="s">
        <v>22</v>
      </c>
      <c r="D92" s="13" t="s">
        <v>91</v>
      </c>
      <c r="E92" s="13" t="s">
        <v>2130</v>
      </c>
    </row>
    <row r="93" spans="1:5" ht="51" x14ac:dyDescent="0.2">
      <c r="A93" s="12" t="s">
        <v>374</v>
      </c>
      <c r="B93" s="12" t="s">
        <v>2131</v>
      </c>
      <c r="C93" s="12" t="s">
        <v>22</v>
      </c>
      <c r="D93" s="13" t="s">
        <v>91</v>
      </c>
      <c r="E93" s="13" t="s">
        <v>2132</v>
      </c>
    </row>
    <row r="94" spans="1:5" ht="51" x14ac:dyDescent="0.2">
      <c r="A94" s="12" t="s">
        <v>378</v>
      </c>
      <c r="B94" s="12" t="s">
        <v>2133</v>
      </c>
      <c r="C94" s="12" t="s">
        <v>22</v>
      </c>
      <c r="D94" s="13" t="s">
        <v>91</v>
      </c>
      <c r="E94" s="13" t="s">
        <v>2134</v>
      </c>
    </row>
    <row r="95" spans="1:5" ht="51" x14ac:dyDescent="0.2">
      <c r="A95" s="12" t="s">
        <v>382</v>
      </c>
      <c r="B95" s="12" t="s">
        <v>2135</v>
      </c>
      <c r="C95" s="12" t="s">
        <v>22</v>
      </c>
      <c r="D95" s="13" t="s">
        <v>91</v>
      </c>
      <c r="E95" s="13" t="s">
        <v>2136</v>
      </c>
    </row>
    <row r="96" spans="1:5" ht="51" x14ac:dyDescent="0.2">
      <c r="A96" s="12" t="s">
        <v>386</v>
      </c>
      <c r="B96" s="12" t="s">
        <v>2137</v>
      </c>
      <c r="C96" s="12" t="s">
        <v>22</v>
      </c>
      <c r="D96" s="13" t="s">
        <v>91</v>
      </c>
      <c r="E96" s="13" t="s">
        <v>2138</v>
      </c>
    </row>
    <row r="97" spans="1:5" ht="61.2" x14ac:dyDescent="0.2">
      <c r="A97" s="12" t="s">
        <v>390</v>
      </c>
      <c r="B97" s="12" t="s">
        <v>2139</v>
      </c>
      <c r="C97" s="12" t="s">
        <v>22</v>
      </c>
      <c r="D97" s="13" t="s">
        <v>91</v>
      </c>
      <c r="E97" s="13" t="s">
        <v>2140</v>
      </c>
    </row>
    <row r="98" spans="1:5" ht="61.2" x14ac:dyDescent="0.2">
      <c r="A98" s="12" t="s">
        <v>394</v>
      </c>
      <c r="B98" s="12" t="s">
        <v>2141</v>
      </c>
      <c r="C98" s="12" t="s">
        <v>22</v>
      </c>
      <c r="D98" s="13" t="s">
        <v>91</v>
      </c>
      <c r="E98" s="13" t="s">
        <v>2142</v>
      </c>
    </row>
    <row r="99" spans="1:5" ht="51" x14ac:dyDescent="0.2">
      <c r="A99" s="12" t="s">
        <v>398</v>
      </c>
      <c r="B99" s="12" t="s">
        <v>2143</v>
      </c>
      <c r="C99" s="12" t="s">
        <v>22</v>
      </c>
      <c r="D99" s="13" t="s">
        <v>91</v>
      </c>
      <c r="E99" s="13" t="s">
        <v>2144</v>
      </c>
    </row>
    <row r="100" spans="1:5" ht="51" x14ac:dyDescent="0.2">
      <c r="A100" s="12" t="s">
        <v>402</v>
      </c>
      <c r="B100" s="12" t="s">
        <v>2145</v>
      </c>
      <c r="C100" s="12" t="s">
        <v>22</v>
      </c>
      <c r="D100" s="13" t="s">
        <v>91</v>
      </c>
      <c r="E100" s="13" t="s">
        <v>2146</v>
      </c>
    </row>
    <row r="101" spans="1:5" ht="61.2" x14ac:dyDescent="0.2">
      <c r="A101" s="12" t="s">
        <v>406</v>
      </c>
      <c r="B101" s="12" t="s">
        <v>2147</v>
      </c>
      <c r="C101" s="12" t="s">
        <v>22</v>
      </c>
      <c r="D101" s="13" t="s">
        <v>91</v>
      </c>
      <c r="E101" s="13" t="s">
        <v>2148</v>
      </c>
    </row>
    <row r="102" spans="1:5" ht="51" x14ac:dyDescent="0.2">
      <c r="A102" s="12" t="s">
        <v>410</v>
      </c>
      <c r="B102" s="12" t="s">
        <v>2149</v>
      </c>
      <c r="C102" s="12" t="s">
        <v>22</v>
      </c>
      <c r="D102" s="13" t="s">
        <v>91</v>
      </c>
      <c r="E102" s="13" t="s">
        <v>2150</v>
      </c>
    </row>
    <row r="103" spans="1:5" ht="51" x14ac:dyDescent="0.2">
      <c r="A103" s="12" t="s">
        <v>414</v>
      </c>
      <c r="B103" s="12" t="s">
        <v>2151</v>
      </c>
      <c r="C103" s="12" t="s">
        <v>22</v>
      </c>
      <c r="D103" s="13" t="s">
        <v>91</v>
      </c>
      <c r="E103" s="13" t="s">
        <v>2152</v>
      </c>
    </row>
    <row r="104" spans="1:5" ht="51" x14ac:dyDescent="0.2">
      <c r="A104" s="12" t="s">
        <v>418</v>
      </c>
      <c r="B104" s="12" t="s">
        <v>2153</v>
      </c>
      <c r="C104" s="12" t="s">
        <v>22</v>
      </c>
      <c r="D104" s="13" t="s">
        <v>91</v>
      </c>
      <c r="E104" s="13" t="s">
        <v>2154</v>
      </c>
    </row>
    <row r="105" spans="1:5" ht="51" x14ac:dyDescent="0.2">
      <c r="A105" s="12" t="s">
        <v>422</v>
      </c>
      <c r="B105" s="12" t="s">
        <v>2155</v>
      </c>
      <c r="C105" s="12" t="s">
        <v>22</v>
      </c>
      <c r="D105" s="13" t="s">
        <v>91</v>
      </c>
      <c r="E105" s="13" t="s">
        <v>2156</v>
      </c>
    </row>
    <row r="106" spans="1:5" ht="51" x14ac:dyDescent="0.2">
      <c r="A106" s="12" t="s">
        <v>426</v>
      </c>
      <c r="B106" s="12" t="s">
        <v>2157</v>
      </c>
      <c r="C106" s="12" t="s">
        <v>22</v>
      </c>
      <c r="D106" s="13" t="s">
        <v>91</v>
      </c>
      <c r="E106" s="13" t="s">
        <v>2158</v>
      </c>
    </row>
    <row r="107" spans="1:5" ht="61.2" x14ac:dyDescent="0.2">
      <c r="A107" s="12" t="s">
        <v>430</v>
      </c>
      <c r="B107" s="12" t="s">
        <v>2159</v>
      </c>
      <c r="C107" s="12" t="s">
        <v>22</v>
      </c>
      <c r="D107" s="13" t="s">
        <v>91</v>
      </c>
      <c r="E107" s="13" t="s">
        <v>2160</v>
      </c>
    </row>
    <row r="108" spans="1:5" ht="51" x14ac:dyDescent="0.2">
      <c r="A108" s="12" t="s">
        <v>2161</v>
      </c>
      <c r="B108" s="12" t="s">
        <v>2162</v>
      </c>
      <c r="C108" s="12" t="s">
        <v>22</v>
      </c>
      <c r="D108" s="13" t="s">
        <v>91</v>
      </c>
      <c r="E108" s="13" t="s">
        <v>2163</v>
      </c>
    </row>
    <row r="109" spans="1:5" ht="61.2" x14ac:dyDescent="0.2">
      <c r="A109" s="12" t="s">
        <v>434</v>
      </c>
      <c r="B109" s="12" t="s">
        <v>2164</v>
      </c>
      <c r="C109" s="12" t="s">
        <v>22</v>
      </c>
      <c r="D109" s="13" t="s">
        <v>91</v>
      </c>
      <c r="E109" s="13" t="s">
        <v>2165</v>
      </c>
    </row>
    <row r="110" spans="1:5" ht="51" x14ac:dyDescent="0.2">
      <c r="A110" s="12" t="s">
        <v>438</v>
      </c>
      <c r="B110" s="12" t="s">
        <v>2166</v>
      </c>
      <c r="C110" s="12" t="s">
        <v>22</v>
      </c>
      <c r="D110" s="13" t="s">
        <v>91</v>
      </c>
      <c r="E110" s="13" t="s">
        <v>2167</v>
      </c>
    </row>
    <row r="111" spans="1:5" ht="51" x14ac:dyDescent="0.2">
      <c r="A111" s="12" t="s">
        <v>442</v>
      </c>
      <c r="B111" s="12" t="s">
        <v>2168</v>
      </c>
      <c r="C111" s="12" t="s">
        <v>22</v>
      </c>
      <c r="D111" s="13" t="s">
        <v>91</v>
      </c>
      <c r="E111" s="13" t="s">
        <v>2169</v>
      </c>
    </row>
    <row r="112" spans="1:5" ht="61.2" x14ac:dyDescent="0.2">
      <c r="A112" s="12" t="s">
        <v>446</v>
      </c>
      <c r="B112" s="12" t="s">
        <v>2170</v>
      </c>
      <c r="C112" s="12" t="s">
        <v>22</v>
      </c>
      <c r="D112" s="13" t="s">
        <v>91</v>
      </c>
      <c r="E112" s="13" t="s">
        <v>2171</v>
      </c>
    </row>
    <row r="113" spans="1:5" ht="61.2" x14ac:dyDescent="0.2">
      <c r="A113" s="12" t="s">
        <v>450</v>
      </c>
      <c r="B113" s="12" t="s">
        <v>2172</v>
      </c>
      <c r="C113" s="12" t="s">
        <v>22</v>
      </c>
      <c r="D113" s="13" t="s">
        <v>91</v>
      </c>
      <c r="E113" s="13" t="s">
        <v>2173</v>
      </c>
    </row>
    <row r="114" spans="1:5" ht="51" x14ac:dyDescent="0.2">
      <c r="A114" s="12" t="s">
        <v>454</v>
      </c>
      <c r="B114" s="12" t="s">
        <v>2174</v>
      </c>
      <c r="C114" s="12" t="s">
        <v>22</v>
      </c>
      <c r="D114" s="13" t="s">
        <v>91</v>
      </c>
      <c r="E114" s="13" t="s">
        <v>2175</v>
      </c>
    </row>
    <row r="115" spans="1:5" ht="51" x14ac:dyDescent="0.2">
      <c r="A115" s="12" t="s">
        <v>458</v>
      </c>
      <c r="B115" s="12" t="s">
        <v>2176</v>
      </c>
      <c r="C115" s="12" t="s">
        <v>22</v>
      </c>
      <c r="D115" s="13" t="s">
        <v>91</v>
      </c>
      <c r="E115" s="13" t="s">
        <v>2177</v>
      </c>
    </row>
    <row r="116" spans="1:5" ht="51" x14ac:dyDescent="0.2">
      <c r="A116" s="12" t="s">
        <v>462</v>
      </c>
      <c r="B116" s="12" t="s">
        <v>2178</v>
      </c>
      <c r="C116" s="12" t="s">
        <v>22</v>
      </c>
      <c r="D116" s="13" t="s">
        <v>91</v>
      </c>
      <c r="E116" s="13" t="s">
        <v>2179</v>
      </c>
    </row>
    <row r="117" spans="1:5" ht="51" x14ac:dyDescent="0.2">
      <c r="A117" s="12" t="s">
        <v>466</v>
      </c>
      <c r="B117" s="12" t="s">
        <v>2180</v>
      </c>
      <c r="C117" s="12" t="s">
        <v>22</v>
      </c>
      <c r="D117" s="13" t="s">
        <v>91</v>
      </c>
      <c r="E117" s="13" t="s">
        <v>2181</v>
      </c>
    </row>
    <row r="118" spans="1:5" ht="71.400000000000006" x14ac:dyDescent="0.2">
      <c r="A118" s="12" t="s">
        <v>470</v>
      </c>
      <c r="B118" s="12" t="s">
        <v>2182</v>
      </c>
      <c r="C118" s="12" t="s">
        <v>22</v>
      </c>
      <c r="D118" s="13" t="s">
        <v>91</v>
      </c>
      <c r="E118" s="13" t="s">
        <v>2183</v>
      </c>
    </row>
    <row r="119" spans="1:5" ht="51" x14ac:dyDescent="0.2">
      <c r="A119" s="12" t="s">
        <v>474</v>
      </c>
      <c r="B119" s="12" t="s">
        <v>2184</v>
      </c>
      <c r="C119" s="12" t="s">
        <v>22</v>
      </c>
      <c r="D119" s="13" t="s">
        <v>91</v>
      </c>
      <c r="E119" s="13" t="s">
        <v>2185</v>
      </c>
    </row>
    <row r="120" spans="1:5" ht="61.2" x14ac:dyDescent="0.2">
      <c r="A120" s="12" t="s">
        <v>478</v>
      </c>
      <c r="B120" s="12" t="s">
        <v>2186</v>
      </c>
      <c r="C120" s="12" t="s">
        <v>22</v>
      </c>
      <c r="D120" s="13" t="s">
        <v>91</v>
      </c>
      <c r="E120" s="13" t="s">
        <v>2187</v>
      </c>
    </row>
    <row r="121" spans="1:5" ht="51" x14ac:dyDescent="0.2">
      <c r="A121" s="12" t="s">
        <v>482</v>
      </c>
      <c r="B121" s="12" t="s">
        <v>2188</v>
      </c>
      <c r="C121" s="12" t="s">
        <v>22</v>
      </c>
      <c r="D121" s="13" t="s">
        <v>91</v>
      </c>
      <c r="E121" s="13" t="s">
        <v>2189</v>
      </c>
    </row>
    <row r="122" spans="1:5" ht="51" x14ac:dyDescent="0.2">
      <c r="A122" s="12" t="s">
        <v>486</v>
      </c>
      <c r="B122" s="12" t="s">
        <v>2190</v>
      </c>
      <c r="C122" s="12" t="s">
        <v>22</v>
      </c>
      <c r="D122" s="13" t="s">
        <v>91</v>
      </c>
      <c r="E122" s="13" t="s">
        <v>2191</v>
      </c>
    </row>
    <row r="123" spans="1:5" ht="51" x14ac:dyDescent="0.2">
      <c r="A123" s="12" t="s">
        <v>490</v>
      </c>
      <c r="B123" s="12" t="s">
        <v>2192</v>
      </c>
      <c r="C123" s="12" t="s">
        <v>22</v>
      </c>
      <c r="D123" s="13" t="s">
        <v>91</v>
      </c>
      <c r="E123" s="13" t="s">
        <v>2193</v>
      </c>
    </row>
    <row r="124" spans="1:5" ht="71.400000000000006" x14ac:dyDescent="0.2">
      <c r="A124" s="12" t="s">
        <v>494</v>
      </c>
      <c r="B124" s="12" t="s">
        <v>2194</v>
      </c>
      <c r="C124" s="12" t="s">
        <v>22</v>
      </c>
      <c r="D124" s="13" t="s">
        <v>91</v>
      </c>
      <c r="E124" s="13" t="s">
        <v>2195</v>
      </c>
    </row>
    <row r="125" spans="1:5" ht="61.2" x14ac:dyDescent="0.2">
      <c r="A125" s="12" t="s">
        <v>498</v>
      </c>
      <c r="B125" s="12" t="s">
        <v>2196</v>
      </c>
      <c r="C125" s="12" t="s">
        <v>22</v>
      </c>
      <c r="D125" s="13" t="s">
        <v>91</v>
      </c>
      <c r="E125" s="13" t="s">
        <v>2197</v>
      </c>
    </row>
    <row r="126" spans="1:5" ht="61.2" x14ac:dyDescent="0.2">
      <c r="A126" s="12" t="s">
        <v>502</v>
      </c>
      <c r="B126" s="12" t="s">
        <v>2198</v>
      </c>
      <c r="C126" s="12" t="s">
        <v>22</v>
      </c>
      <c r="D126" s="13" t="s">
        <v>91</v>
      </c>
      <c r="E126" s="13" t="s">
        <v>2199</v>
      </c>
    </row>
    <row r="127" spans="1:5" ht="61.2" x14ac:dyDescent="0.2">
      <c r="A127" s="12" t="s">
        <v>506</v>
      </c>
      <c r="B127" s="12" t="s">
        <v>2200</v>
      </c>
      <c r="C127" s="12" t="s">
        <v>22</v>
      </c>
      <c r="D127" s="13" t="s">
        <v>91</v>
      </c>
      <c r="E127" s="13" t="s">
        <v>2201</v>
      </c>
    </row>
    <row r="128" spans="1:5" ht="61.2" x14ac:dyDescent="0.2">
      <c r="A128" s="12" t="s">
        <v>510</v>
      </c>
      <c r="B128" s="12" t="s">
        <v>2202</v>
      </c>
      <c r="C128" s="12" t="s">
        <v>22</v>
      </c>
      <c r="D128" s="13" t="s">
        <v>91</v>
      </c>
      <c r="E128" s="13" t="s">
        <v>2203</v>
      </c>
    </row>
    <row r="129" spans="1:5" ht="61.2" x14ac:dyDescent="0.2">
      <c r="A129" s="12" t="s">
        <v>514</v>
      </c>
      <c r="B129" s="12" t="s">
        <v>2204</v>
      </c>
      <c r="C129" s="12" t="s">
        <v>22</v>
      </c>
      <c r="D129" s="13" t="s">
        <v>91</v>
      </c>
      <c r="E129" s="13" t="s">
        <v>2205</v>
      </c>
    </row>
    <row r="130" spans="1:5" ht="51" x14ac:dyDescent="0.2">
      <c r="A130" s="12" t="s">
        <v>518</v>
      </c>
      <c r="B130" s="12" t="s">
        <v>2206</v>
      </c>
      <c r="C130" s="12" t="s">
        <v>22</v>
      </c>
      <c r="D130" s="13" t="s">
        <v>91</v>
      </c>
      <c r="E130" s="13" t="s">
        <v>2207</v>
      </c>
    </row>
    <row r="131" spans="1:5" ht="71.400000000000006" x14ac:dyDescent="0.2">
      <c r="A131" s="12" t="s">
        <v>522</v>
      </c>
      <c r="B131" s="12" t="s">
        <v>2208</v>
      </c>
      <c r="C131" s="12" t="s">
        <v>22</v>
      </c>
      <c r="D131" s="13" t="s">
        <v>91</v>
      </c>
      <c r="E131" s="13" t="s">
        <v>2209</v>
      </c>
    </row>
    <row r="132" spans="1:5" ht="51" x14ac:dyDescent="0.2">
      <c r="A132" s="12" t="s">
        <v>526</v>
      </c>
      <c r="B132" s="12" t="s">
        <v>2210</v>
      </c>
      <c r="C132" s="12" t="s">
        <v>22</v>
      </c>
      <c r="D132" s="13" t="s">
        <v>91</v>
      </c>
      <c r="E132" s="13" t="s">
        <v>2211</v>
      </c>
    </row>
    <row r="133" spans="1:5" ht="61.2" x14ac:dyDescent="0.2">
      <c r="A133" s="12" t="s">
        <v>530</v>
      </c>
      <c r="B133" s="12" t="s">
        <v>2212</v>
      </c>
      <c r="C133" s="12" t="s">
        <v>22</v>
      </c>
      <c r="D133" s="13" t="s">
        <v>91</v>
      </c>
      <c r="E133" s="13" t="s">
        <v>2213</v>
      </c>
    </row>
    <row r="134" spans="1:5" ht="51" x14ac:dyDescent="0.2">
      <c r="A134" s="12" t="s">
        <v>534</v>
      </c>
      <c r="B134" s="12" t="s">
        <v>2214</v>
      </c>
      <c r="C134" s="12" t="s">
        <v>22</v>
      </c>
      <c r="D134" s="13" t="s">
        <v>91</v>
      </c>
      <c r="E134" s="13" t="s">
        <v>2215</v>
      </c>
    </row>
    <row r="135" spans="1:5" ht="51" x14ac:dyDescent="0.2">
      <c r="A135" s="12" t="s">
        <v>538</v>
      </c>
      <c r="B135" s="12" t="s">
        <v>2216</v>
      </c>
      <c r="C135" s="12" t="s">
        <v>22</v>
      </c>
      <c r="D135" s="13" t="s">
        <v>91</v>
      </c>
      <c r="E135" s="13" t="s">
        <v>2217</v>
      </c>
    </row>
    <row r="136" spans="1:5" ht="51" x14ac:dyDescent="0.2">
      <c r="A136" s="12" t="s">
        <v>542</v>
      </c>
      <c r="B136" s="12" t="s">
        <v>2218</v>
      </c>
      <c r="C136" s="12" t="s">
        <v>22</v>
      </c>
      <c r="D136" s="13" t="s">
        <v>91</v>
      </c>
      <c r="E136" s="13" t="s">
        <v>2219</v>
      </c>
    </row>
    <row r="137" spans="1:5" ht="51" x14ac:dyDescent="0.2">
      <c r="A137" s="12" t="s">
        <v>546</v>
      </c>
      <c r="B137" s="12" t="s">
        <v>2220</v>
      </c>
      <c r="C137" s="12" t="s">
        <v>22</v>
      </c>
      <c r="D137" s="13" t="s">
        <v>91</v>
      </c>
      <c r="E137" s="13" t="s">
        <v>2221</v>
      </c>
    </row>
    <row r="138" spans="1:5" ht="40.799999999999997" x14ac:dyDescent="0.2">
      <c r="A138" s="12" t="s">
        <v>550</v>
      </c>
      <c r="B138" s="12" t="s">
        <v>2222</v>
      </c>
      <c r="C138" s="12" t="s">
        <v>22</v>
      </c>
      <c r="D138" s="13" t="s">
        <v>91</v>
      </c>
      <c r="E138" s="13" t="s">
        <v>2223</v>
      </c>
    </row>
    <row r="139" spans="1:5" ht="51" x14ac:dyDescent="0.2">
      <c r="A139" s="12" t="s">
        <v>554</v>
      </c>
      <c r="B139" s="12" t="s">
        <v>2224</v>
      </c>
      <c r="C139" s="12" t="s">
        <v>22</v>
      </c>
      <c r="D139" s="13" t="s">
        <v>91</v>
      </c>
      <c r="E139" s="13" t="s">
        <v>2225</v>
      </c>
    </row>
    <row r="140" spans="1:5" ht="51" x14ac:dyDescent="0.2">
      <c r="A140" s="12" t="s">
        <v>558</v>
      </c>
      <c r="B140" s="12" t="s">
        <v>2226</v>
      </c>
      <c r="C140" s="12" t="s">
        <v>22</v>
      </c>
      <c r="D140" s="13" t="s">
        <v>91</v>
      </c>
      <c r="E140" s="13" t="s">
        <v>2227</v>
      </c>
    </row>
    <row r="141" spans="1:5" ht="71.400000000000006" x14ac:dyDescent="0.2">
      <c r="A141" s="12" t="s">
        <v>562</v>
      </c>
      <c r="B141" s="12" t="s">
        <v>2228</v>
      </c>
      <c r="C141" s="12" t="s">
        <v>22</v>
      </c>
      <c r="D141" s="13" t="s">
        <v>91</v>
      </c>
      <c r="E141" s="13" t="s">
        <v>2229</v>
      </c>
    </row>
    <row r="142" spans="1:5" ht="81.599999999999994" x14ac:dyDescent="0.2">
      <c r="A142" s="12" t="s">
        <v>566</v>
      </c>
      <c r="B142" s="12" t="s">
        <v>2230</v>
      </c>
      <c r="C142" s="12" t="s">
        <v>22</v>
      </c>
      <c r="D142" s="13" t="s">
        <v>91</v>
      </c>
      <c r="E142" s="13" t="s">
        <v>2231</v>
      </c>
    </row>
    <row r="143" spans="1:5" ht="51" x14ac:dyDescent="0.2">
      <c r="A143" s="12" t="s">
        <v>570</v>
      </c>
      <c r="B143" s="12" t="s">
        <v>2232</v>
      </c>
      <c r="C143" s="12" t="s">
        <v>22</v>
      </c>
      <c r="D143" s="13" t="s">
        <v>91</v>
      </c>
      <c r="E143" s="13" t="s">
        <v>2233</v>
      </c>
    </row>
    <row r="144" spans="1:5" ht="51" x14ac:dyDescent="0.2">
      <c r="A144" s="12" t="s">
        <v>574</v>
      </c>
      <c r="B144" s="12" t="s">
        <v>2234</v>
      </c>
      <c r="C144" s="12" t="s">
        <v>22</v>
      </c>
      <c r="D144" s="13" t="s">
        <v>91</v>
      </c>
      <c r="E144" s="13" t="s">
        <v>2235</v>
      </c>
    </row>
    <row r="145" spans="1:5" ht="51" x14ac:dyDescent="0.2">
      <c r="A145" s="12" t="s">
        <v>578</v>
      </c>
      <c r="B145" s="12" t="s">
        <v>2236</v>
      </c>
      <c r="C145" s="12" t="s">
        <v>22</v>
      </c>
      <c r="D145" s="13" t="s">
        <v>91</v>
      </c>
      <c r="E145" s="13" t="s">
        <v>2237</v>
      </c>
    </row>
    <row r="146" spans="1:5" ht="51" x14ac:dyDescent="0.2">
      <c r="A146" s="12" t="s">
        <v>582</v>
      </c>
      <c r="B146" s="12" t="s">
        <v>2238</v>
      </c>
      <c r="C146" s="12" t="s">
        <v>22</v>
      </c>
      <c r="D146" s="13" t="s">
        <v>91</v>
      </c>
      <c r="E146" s="13" t="s">
        <v>2239</v>
      </c>
    </row>
    <row r="147" spans="1:5" ht="71.400000000000006" x14ac:dyDescent="0.2">
      <c r="A147" s="12" t="s">
        <v>586</v>
      </c>
      <c r="B147" s="12" t="s">
        <v>2240</v>
      </c>
      <c r="C147" s="12" t="s">
        <v>22</v>
      </c>
      <c r="D147" s="13" t="s">
        <v>91</v>
      </c>
      <c r="E147" s="13" t="s">
        <v>2241</v>
      </c>
    </row>
    <row r="148" spans="1:5" ht="61.2" x14ac:dyDescent="0.2">
      <c r="A148" s="12" t="s">
        <v>590</v>
      </c>
      <c r="B148" s="12" t="s">
        <v>2242</v>
      </c>
      <c r="C148" s="12" t="s">
        <v>22</v>
      </c>
      <c r="D148" s="13" t="s">
        <v>91</v>
      </c>
      <c r="E148" s="13" t="s">
        <v>2243</v>
      </c>
    </row>
    <row r="149" spans="1:5" ht="61.2" x14ac:dyDescent="0.2">
      <c r="A149" s="12" t="s">
        <v>594</v>
      </c>
      <c r="B149" s="12" t="s">
        <v>2244</v>
      </c>
      <c r="C149" s="12" t="s">
        <v>22</v>
      </c>
      <c r="D149" s="13" t="s">
        <v>91</v>
      </c>
      <c r="E149" s="13" t="s">
        <v>2245</v>
      </c>
    </row>
    <row r="150" spans="1:5" ht="51" x14ac:dyDescent="0.2">
      <c r="A150" s="12" t="s">
        <v>598</v>
      </c>
      <c r="B150" s="12" t="s">
        <v>2246</v>
      </c>
      <c r="C150" s="12" t="s">
        <v>22</v>
      </c>
      <c r="D150" s="13" t="s">
        <v>91</v>
      </c>
      <c r="E150" s="13" t="s">
        <v>2247</v>
      </c>
    </row>
    <row r="151" spans="1:5" ht="51" x14ac:dyDescent="0.2">
      <c r="A151" s="12" t="s">
        <v>602</v>
      </c>
      <c r="B151" s="12" t="s">
        <v>2248</v>
      </c>
      <c r="C151" s="12" t="s">
        <v>22</v>
      </c>
      <c r="D151" s="13" t="s">
        <v>91</v>
      </c>
      <c r="E151" s="13" t="s">
        <v>2249</v>
      </c>
    </row>
    <row r="152" spans="1:5" ht="61.2" x14ac:dyDescent="0.2">
      <c r="A152" s="12" t="s">
        <v>606</v>
      </c>
      <c r="B152" s="12" t="s">
        <v>2250</v>
      </c>
      <c r="C152" s="12" t="s">
        <v>22</v>
      </c>
      <c r="D152" s="13" t="s">
        <v>91</v>
      </c>
      <c r="E152" s="13" t="s">
        <v>2251</v>
      </c>
    </row>
    <row r="153" spans="1:5" ht="51" x14ac:dyDescent="0.2">
      <c r="A153" s="12" t="s">
        <v>611</v>
      </c>
      <c r="B153" s="12" t="s">
        <v>2252</v>
      </c>
      <c r="C153" s="12" t="s">
        <v>22</v>
      </c>
      <c r="D153" s="13" t="s">
        <v>91</v>
      </c>
      <c r="E153" s="13" t="s">
        <v>2253</v>
      </c>
    </row>
    <row r="154" spans="1:5" ht="51" x14ac:dyDescent="0.2">
      <c r="A154" s="12" t="s">
        <v>2254</v>
      </c>
      <c r="B154" s="12" t="s">
        <v>2255</v>
      </c>
      <c r="C154" s="12" t="s">
        <v>22</v>
      </c>
      <c r="D154" s="13" t="s">
        <v>91</v>
      </c>
      <c r="E154" s="13" t="s">
        <v>2256</v>
      </c>
    </row>
    <row r="155" spans="1:5" ht="61.2" x14ac:dyDescent="0.2">
      <c r="A155" s="12" t="s">
        <v>615</v>
      </c>
      <c r="B155" s="12" t="s">
        <v>2257</v>
      </c>
      <c r="C155" s="12" t="s">
        <v>22</v>
      </c>
      <c r="D155" s="13" t="s">
        <v>91</v>
      </c>
      <c r="E155" s="13" t="s">
        <v>2258</v>
      </c>
    </row>
    <row r="156" spans="1:5" ht="71.400000000000006" x14ac:dyDescent="0.2">
      <c r="A156" s="12" t="s">
        <v>619</v>
      </c>
      <c r="B156" s="12" t="s">
        <v>2259</v>
      </c>
      <c r="C156" s="12" t="s">
        <v>22</v>
      </c>
      <c r="D156" s="13" t="s">
        <v>91</v>
      </c>
      <c r="E156" s="13" t="s">
        <v>2260</v>
      </c>
    </row>
    <row r="157" spans="1:5" ht="51" x14ac:dyDescent="0.2">
      <c r="A157" s="12" t="s">
        <v>623</v>
      </c>
      <c r="B157" s="12" t="s">
        <v>2261</v>
      </c>
      <c r="C157" s="12" t="s">
        <v>22</v>
      </c>
      <c r="D157" s="13" t="s">
        <v>91</v>
      </c>
      <c r="E157" s="13" t="s">
        <v>2262</v>
      </c>
    </row>
    <row r="158" spans="1:5" ht="51" x14ac:dyDescent="0.2">
      <c r="A158" s="12" t="s">
        <v>627</v>
      </c>
      <c r="B158" s="12" t="s">
        <v>2263</v>
      </c>
      <c r="C158" s="12" t="s">
        <v>22</v>
      </c>
      <c r="D158" s="13" t="s">
        <v>91</v>
      </c>
      <c r="E158" s="13" t="s">
        <v>2264</v>
      </c>
    </row>
    <row r="159" spans="1:5" ht="51" x14ac:dyDescent="0.2">
      <c r="A159" s="12" t="s">
        <v>631</v>
      </c>
      <c r="B159" s="12" t="s">
        <v>2265</v>
      </c>
      <c r="C159" s="12" t="s">
        <v>22</v>
      </c>
      <c r="D159" s="13" t="s">
        <v>91</v>
      </c>
      <c r="E159" s="13" t="s">
        <v>2266</v>
      </c>
    </row>
    <row r="160" spans="1:5" ht="51" x14ac:dyDescent="0.2">
      <c r="A160" s="12" t="s">
        <v>635</v>
      </c>
      <c r="B160" s="12" t="s">
        <v>2267</v>
      </c>
      <c r="C160" s="12" t="s">
        <v>22</v>
      </c>
      <c r="D160" s="13" t="s">
        <v>91</v>
      </c>
      <c r="E160" s="13" t="s">
        <v>2268</v>
      </c>
    </row>
    <row r="161" spans="1:5" ht="51" x14ac:dyDescent="0.2">
      <c r="A161" s="12" t="s">
        <v>639</v>
      </c>
      <c r="B161" s="12" t="s">
        <v>2269</v>
      </c>
      <c r="C161" s="12" t="s">
        <v>22</v>
      </c>
      <c r="D161" s="13" t="s">
        <v>91</v>
      </c>
      <c r="E161" s="13" t="s">
        <v>2270</v>
      </c>
    </row>
    <row r="162" spans="1:5" ht="51" x14ac:dyDescent="0.2">
      <c r="A162" s="12" t="s">
        <v>643</v>
      </c>
      <c r="B162" s="12" t="s">
        <v>2271</v>
      </c>
      <c r="C162" s="12" t="s">
        <v>22</v>
      </c>
      <c r="D162" s="13" t="s">
        <v>91</v>
      </c>
      <c r="E162" s="13" t="s">
        <v>2272</v>
      </c>
    </row>
    <row r="163" spans="1:5" ht="51" x14ac:dyDescent="0.2">
      <c r="A163" s="12" t="s">
        <v>647</v>
      </c>
      <c r="B163" s="12" t="s">
        <v>2273</v>
      </c>
      <c r="C163" s="12" t="s">
        <v>22</v>
      </c>
      <c r="D163" s="13" t="s">
        <v>91</v>
      </c>
      <c r="E163" s="13" t="s">
        <v>2274</v>
      </c>
    </row>
    <row r="164" spans="1:5" ht="71.400000000000006" x14ac:dyDescent="0.2">
      <c r="A164" s="12" t="s">
        <v>651</v>
      </c>
      <c r="B164" s="12" t="s">
        <v>2275</v>
      </c>
      <c r="C164" s="12" t="s">
        <v>22</v>
      </c>
      <c r="D164" s="13" t="s">
        <v>91</v>
      </c>
      <c r="E164" s="13" t="s">
        <v>2276</v>
      </c>
    </row>
    <row r="165" spans="1:5" ht="71.400000000000006" x14ac:dyDescent="0.2">
      <c r="A165" s="12" t="s">
        <v>655</v>
      </c>
      <c r="B165" s="12" t="s">
        <v>2277</v>
      </c>
      <c r="C165" s="12" t="s">
        <v>22</v>
      </c>
      <c r="D165" s="13" t="s">
        <v>91</v>
      </c>
      <c r="E165" s="13" t="s">
        <v>2278</v>
      </c>
    </row>
    <row r="166" spans="1:5" ht="61.2" x14ac:dyDescent="0.2">
      <c r="A166" s="12" t="s">
        <v>659</v>
      </c>
      <c r="B166" s="12" t="s">
        <v>2279</v>
      </c>
      <c r="C166" s="12" t="s">
        <v>22</v>
      </c>
      <c r="D166" s="13" t="s">
        <v>91</v>
      </c>
      <c r="E166" s="13" t="s">
        <v>2280</v>
      </c>
    </row>
    <row r="167" spans="1:5" ht="51" x14ac:dyDescent="0.2">
      <c r="A167" s="12" t="s">
        <v>663</v>
      </c>
      <c r="B167" s="12" t="s">
        <v>2281</v>
      </c>
      <c r="C167" s="12" t="s">
        <v>22</v>
      </c>
      <c r="D167" s="13" t="s">
        <v>91</v>
      </c>
      <c r="E167" s="13" t="s">
        <v>2282</v>
      </c>
    </row>
    <row r="168" spans="1:5" ht="71.400000000000006" x14ac:dyDescent="0.2">
      <c r="A168" s="12" t="s">
        <v>667</v>
      </c>
      <c r="B168" s="12" t="s">
        <v>2283</v>
      </c>
      <c r="C168" s="12" t="s">
        <v>22</v>
      </c>
      <c r="D168" s="13" t="s">
        <v>91</v>
      </c>
      <c r="E168" s="13" t="s">
        <v>2284</v>
      </c>
    </row>
    <row r="169" spans="1:5" ht="71.400000000000006" x14ac:dyDescent="0.2">
      <c r="A169" s="12" t="s">
        <v>671</v>
      </c>
      <c r="B169" s="12" t="s">
        <v>2285</v>
      </c>
      <c r="C169" s="12" t="s">
        <v>22</v>
      </c>
      <c r="D169" s="13" t="s">
        <v>91</v>
      </c>
      <c r="E169" s="13" t="s">
        <v>2286</v>
      </c>
    </row>
    <row r="170" spans="1:5" ht="61.2" x14ac:dyDescent="0.2">
      <c r="A170" s="12" t="s">
        <v>675</v>
      </c>
      <c r="B170" s="12" t="s">
        <v>2287</v>
      </c>
      <c r="C170" s="12" t="s">
        <v>22</v>
      </c>
      <c r="D170" s="13" t="s">
        <v>91</v>
      </c>
      <c r="E170" s="13" t="s">
        <v>2288</v>
      </c>
    </row>
    <row r="171" spans="1:5" ht="71.400000000000006" x14ac:dyDescent="0.2">
      <c r="A171" s="12" t="s">
        <v>679</v>
      </c>
      <c r="B171" s="12" t="s">
        <v>2289</v>
      </c>
      <c r="C171" s="12" t="s">
        <v>22</v>
      </c>
      <c r="D171" s="13" t="s">
        <v>91</v>
      </c>
      <c r="E171" s="13" t="s">
        <v>2290</v>
      </c>
    </row>
    <row r="172" spans="1:5" ht="51" x14ac:dyDescent="0.2">
      <c r="A172" s="12" t="s">
        <v>683</v>
      </c>
      <c r="B172" s="12" t="s">
        <v>2291</v>
      </c>
      <c r="C172" s="12" t="s">
        <v>22</v>
      </c>
      <c r="D172" s="13" t="s">
        <v>91</v>
      </c>
      <c r="E172" s="13" t="s">
        <v>2292</v>
      </c>
    </row>
    <row r="173" spans="1:5" ht="51" x14ac:dyDescent="0.2">
      <c r="A173" s="12" t="s">
        <v>687</v>
      </c>
      <c r="B173" s="12" t="s">
        <v>2293</v>
      </c>
      <c r="C173" s="12" t="s">
        <v>22</v>
      </c>
      <c r="D173" s="13" t="s">
        <v>91</v>
      </c>
      <c r="E173" s="13" t="s">
        <v>2294</v>
      </c>
    </row>
    <row r="174" spans="1:5" ht="71.400000000000006" x14ac:dyDescent="0.2">
      <c r="A174" s="12" t="s">
        <v>691</v>
      </c>
      <c r="B174" s="12" t="s">
        <v>2295</v>
      </c>
      <c r="C174" s="12" t="s">
        <v>22</v>
      </c>
      <c r="D174" s="13" t="s">
        <v>91</v>
      </c>
      <c r="E174" s="13" t="s">
        <v>2296</v>
      </c>
    </row>
    <row r="175" spans="1:5" ht="51" x14ac:dyDescent="0.2">
      <c r="A175" s="12" t="s">
        <v>695</v>
      </c>
      <c r="B175" s="12" t="s">
        <v>2297</v>
      </c>
      <c r="C175" s="12" t="s">
        <v>22</v>
      </c>
      <c r="D175" s="13" t="s">
        <v>91</v>
      </c>
      <c r="E175" s="13" t="s">
        <v>2298</v>
      </c>
    </row>
    <row r="176" spans="1:5" ht="51" x14ac:dyDescent="0.2">
      <c r="A176" s="12" t="s">
        <v>699</v>
      </c>
      <c r="B176" s="12" t="s">
        <v>2299</v>
      </c>
      <c r="C176" s="12" t="s">
        <v>22</v>
      </c>
      <c r="D176" s="13" t="s">
        <v>91</v>
      </c>
      <c r="E176" s="13" t="s">
        <v>2300</v>
      </c>
    </row>
    <row r="177" spans="1:5" ht="71.400000000000006" x14ac:dyDescent="0.2">
      <c r="A177" s="12" t="s">
        <v>703</v>
      </c>
      <c r="B177" s="12" t="s">
        <v>2301</v>
      </c>
      <c r="C177" s="12" t="s">
        <v>22</v>
      </c>
      <c r="D177" s="13" t="s">
        <v>91</v>
      </c>
      <c r="E177" s="13" t="s">
        <v>2302</v>
      </c>
    </row>
    <row r="178" spans="1:5" ht="71.400000000000006" x14ac:dyDescent="0.2">
      <c r="A178" s="12" t="s">
        <v>707</v>
      </c>
      <c r="B178" s="12" t="s">
        <v>2303</v>
      </c>
      <c r="C178" s="12" t="s">
        <v>22</v>
      </c>
      <c r="D178" s="13" t="s">
        <v>91</v>
      </c>
      <c r="E178" s="13" t="s">
        <v>2304</v>
      </c>
    </row>
    <row r="179" spans="1:5" ht="51" x14ac:dyDescent="0.2">
      <c r="A179" s="12" t="s">
        <v>711</v>
      </c>
      <c r="B179" s="12" t="s">
        <v>2305</v>
      </c>
      <c r="C179" s="12" t="s">
        <v>22</v>
      </c>
      <c r="D179" s="13" t="s">
        <v>91</v>
      </c>
      <c r="E179" s="13" t="s">
        <v>2306</v>
      </c>
    </row>
    <row r="180" spans="1:5" ht="61.2" x14ac:dyDescent="0.2">
      <c r="A180" s="12" t="s">
        <v>715</v>
      </c>
      <c r="B180" s="12" t="s">
        <v>2307</v>
      </c>
      <c r="C180" s="12" t="s">
        <v>22</v>
      </c>
      <c r="D180" s="13" t="s">
        <v>91</v>
      </c>
      <c r="E180" s="13" t="s">
        <v>2308</v>
      </c>
    </row>
    <row r="181" spans="1:5" ht="61.2" x14ac:dyDescent="0.2">
      <c r="A181" s="12" t="s">
        <v>719</v>
      </c>
      <c r="B181" s="12" t="s">
        <v>2309</v>
      </c>
      <c r="C181" s="12" t="s">
        <v>22</v>
      </c>
      <c r="D181" s="13" t="s">
        <v>91</v>
      </c>
      <c r="E181" s="13" t="s">
        <v>2310</v>
      </c>
    </row>
    <row r="182" spans="1:5" ht="61.2" x14ac:dyDescent="0.2">
      <c r="A182" s="12" t="s">
        <v>723</v>
      </c>
      <c r="B182" s="12" t="s">
        <v>2311</v>
      </c>
      <c r="C182" s="12" t="s">
        <v>22</v>
      </c>
      <c r="D182" s="13" t="s">
        <v>91</v>
      </c>
      <c r="E182" s="13" t="s">
        <v>2312</v>
      </c>
    </row>
    <row r="183" spans="1:5" ht="51" x14ac:dyDescent="0.2">
      <c r="A183" s="12" t="s">
        <v>727</v>
      </c>
      <c r="B183" s="12" t="s">
        <v>2313</v>
      </c>
      <c r="C183" s="12" t="s">
        <v>22</v>
      </c>
      <c r="D183" s="13" t="s">
        <v>91</v>
      </c>
      <c r="E183" s="13" t="s">
        <v>2314</v>
      </c>
    </row>
    <row r="184" spans="1:5" ht="81.599999999999994" x14ac:dyDescent="0.2">
      <c r="A184" s="12" t="s">
        <v>731</v>
      </c>
      <c r="B184" s="12" t="s">
        <v>2315</v>
      </c>
      <c r="C184" s="12" t="s">
        <v>22</v>
      </c>
      <c r="D184" s="13" t="s">
        <v>91</v>
      </c>
      <c r="E184" s="13" t="s">
        <v>2316</v>
      </c>
    </row>
    <row r="185" spans="1:5" ht="51" x14ac:dyDescent="0.2">
      <c r="A185" s="12" t="s">
        <v>735</v>
      </c>
      <c r="B185" s="12" t="s">
        <v>2317</v>
      </c>
      <c r="C185" s="12" t="s">
        <v>22</v>
      </c>
      <c r="D185" s="13" t="s">
        <v>91</v>
      </c>
      <c r="E185" s="13" t="s">
        <v>2318</v>
      </c>
    </row>
    <row r="186" spans="1:5" ht="51" x14ac:dyDescent="0.2">
      <c r="A186" s="12" t="s">
        <v>739</v>
      </c>
      <c r="B186" s="12" t="s">
        <v>2319</v>
      </c>
      <c r="C186" s="12" t="s">
        <v>22</v>
      </c>
      <c r="D186" s="13" t="s">
        <v>91</v>
      </c>
      <c r="E186" s="13" t="s">
        <v>2320</v>
      </c>
    </row>
    <row r="187" spans="1:5" ht="51" x14ac:dyDescent="0.2">
      <c r="A187" s="12" t="s">
        <v>743</v>
      </c>
      <c r="B187" s="12" t="s">
        <v>2321</v>
      </c>
      <c r="C187" s="12" t="s">
        <v>22</v>
      </c>
      <c r="D187" s="13" t="s">
        <v>91</v>
      </c>
      <c r="E187" s="13" t="s">
        <v>2322</v>
      </c>
    </row>
    <row r="188" spans="1:5" ht="61.2" x14ac:dyDescent="0.2">
      <c r="A188" s="12" t="s">
        <v>747</v>
      </c>
      <c r="B188" s="12" t="s">
        <v>2323</v>
      </c>
      <c r="C188" s="12" t="s">
        <v>22</v>
      </c>
      <c r="D188" s="13" t="s">
        <v>91</v>
      </c>
      <c r="E188" s="13" t="s">
        <v>2324</v>
      </c>
    </row>
    <row r="189" spans="1:5" ht="51" x14ac:dyDescent="0.2">
      <c r="A189" s="12" t="s">
        <v>751</v>
      </c>
      <c r="B189" s="12" t="s">
        <v>2325</v>
      </c>
      <c r="C189" s="12" t="s">
        <v>22</v>
      </c>
      <c r="D189" s="13" t="s">
        <v>91</v>
      </c>
      <c r="E189" s="13" t="s">
        <v>2326</v>
      </c>
    </row>
    <row r="190" spans="1:5" ht="51" x14ac:dyDescent="0.2">
      <c r="A190" s="12" t="s">
        <v>755</v>
      </c>
      <c r="B190" s="12" t="s">
        <v>2327</v>
      </c>
      <c r="C190" s="12" t="s">
        <v>22</v>
      </c>
      <c r="D190" s="13" t="s">
        <v>91</v>
      </c>
      <c r="E190" s="13" t="s">
        <v>2328</v>
      </c>
    </row>
    <row r="191" spans="1:5" ht="61.2" x14ac:dyDescent="0.2">
      <c r="A191" s="12" t="s">
        <v>759</v>
      </c>
      <c r="B191" s="12" t="s">
        <v>2329</v>
      </c>
      <c r="C191" s="12" t="s">
        <v>22</v>
      </c>
      <c r="D191" s="13" t="s">
        <v>91</v>
      </c>
      <c r="E191" s="13" t="s">
        <v>2330</v>
      </c>
    </row>
    <row r="192" spans="1:5" ht="61.2" x14ac:dyDescent="0.2">
      <c r="A192" s="12" t="s">
        <v>763</v>
      </c>
      <c r="B192" s="12" t="s">
        <v>2331</v>
      </c>
      <c r="C192" s="12" t="s">
        <v>22</v>
      </c>
      <c r="D192" s="13" t="s">
        <v>91</v>
      </c>
      <c r="E192" s="13" t="s">
        <v>2332</v>
      </c>
    </row>
    <row r="193" spans="1:5" ht="51" x14ac:dyDescent="0.2">
      <c r="A193" s="12" t="s">
        <v>767</v>
      </c>
      <c r="B193" s="12" t="s">
        <v>2333</v>
      </c>
      <c r="C193" s="12" t="s">
        <v>22</v>
      </c>
      <c r="D193" s="13" t="s">
        <v>91</v>
      </c>
      <c r="E193" s="13" t="s">
        <v>2334</v>
      </c>
    </row>
    <row r="194" spans="1:5" ht="51" x14ac:dyDescent="0.2">
      <c r="A194" s="12" t="s">
        <v>771</v>
      </c>
      <c r="B194" s="12" t="s">
        <v>2335</v>
      </c>
      <c r="C194" s="12" t="s">
        <v>22</v>
      </c>
      <c r="D194" s="13" t="s">
        <v>2336</v>
      </c>
      <c r="E194" s="13" t="s">
        <v>2337</v>
      </c>
    </row>
    <row r="195" spans="1:5" ht="51" x14ac:dyDescent="0.2">
      <c r="A195" s="12" t="s">
        <v>775</v>
      </c>
      <c r="B195" s="12" t="s">
        <v>2338</v>
      </c>
      <c r="C195" s="12" t="s">
        <v>22</v>
      </c>
      <c r="D195" s="13" t="s">
        <v>91</v>
      </c>
      <c r="E195" s="13" t="s">
        <v>2339</v>
      </c>
    </row>
    <row r="196" spans="1:5" ht="61.2" x14ac:dyDescent="0.2">
      <c r="A196" s="12" t="s">
        <v>780</v>
      </c>
      <c r="B196" s="12" t="s">
        <v>2340</v>
      </c>
      <c r="C196" s="12" t="s">
        <v>22</v>
      </c>
      <c r="D196" s="13" t="s">
        <v>91</v>
      </c>
      <c r="E196" s="13" t="s">
        <v>2341</v>
      </c>
    </row>
    <row r="197" spans="1:5" ht="61.2" x14ac:dyDescent="0.2">
      <c r="A197" s="12" t="s">
        <v>784</v>
      </c>
      <c r="B197" s="12" t="s">
        <v>2342</v>
      </c>
      <c r="C197" s="12" t="s">
        <v>22</v>
      </c>
      <c r="D197" s="13" t="s">
        <v>91</v>
      </c>
      <c r="E197" s="13" t="s">
        <v>2343</v>
      </c>
    </row>
    <row r="198" spans="1:5" ht="51" x14ac:dyDescent="0.2">
      <c r="A198" s="12" t="s">
        <v>788</v>
      </c>
      <c r="B198" s="12" t="s">
        <v>2344</v>
      </c>
      <c r="C198" s="12" t="s">
        <v>22</v>
      </c>
      <c r="D198" s="13" t="s">
        <v>91</v>
      </c>
      <c r="E198" s="13" t="s">
        <v>2345</v>
      </c>
    </row>
    <row r="199" spans="1:5" ht="51" x14ac:dyDescent="0.2">
      <c r="A199" s="12" t="s">
        <v>792</v>
      </c>
      <c r="B199" s="12" t="s">
        <v>2346</v>
      </c>
      <c r="C199" s="12" t="s">
        <v>22</v>
      </c>
      <c r="D199" s="13" t="s">
        <v>91</v>
      </c>
      <c r="E199" s="13" t="s">
        <v>2347</v>
      </c>
    </row>
    <row r="200" spans="1:5" ht="61.2" x14ac:dyDescent="0.2">
      <c r="A200" s="12" t="s">
        <v>796</v>
      </c>
      <c r="B200" s="12" t="s">
        <v>2348</v>
      </c>
      <c r="C200" s="12" t="s">
        <v>22</v>
      </c>
      <c r="D200" s="13" t="s">
        <v>91</v>
      </c>
      <c r="E200" s="13" t="s">
        <v>2349</v>
      </c>
    </row>
    <row r="201" spans="1:5" ht="51" x14ac:dyDescent="0.2">
      <c r="A201" s="12" t="s">
        <v>800</v>
      </c>
      <c r="B201" s="12" t="s">
        <v>2350</v>
      </c>
      <c r="C201" s="12" t="s">
        <v>22</v>
      </c>
      <c r="D201" s="13" t="s">
        <v>91</v>
      </c>
      <c r="E201" s="13" t="s">
        <v>2351</v>
      </c>
    </row>
    <row r="202" spans="1:5" ht="51" x14ac:dyDescent="0.2">
      <c r="A202" s="12" t="s">
        <v>804</v>
      </c>
      <c r="B202" s="12" t="s">
        <v>2352</v>
      </c>
      <c r="C202" s="12" t="s">
        <v>22</v>
      </c>
      <c r="D202" s="13" t="s">
        <v>91</v>
      </c>
      <c r="E202" s="13" t="s">
        <v>2353</v>
      </c>
    </row>
    <row r="203" spans="1:5" ht="51" x14ac:dyDescent="0.2">
      <c r="A203" s="12" t="s">
        <v>808</v>
      </c>
      <c r="B203" s="12" t="s">
        <v>2354</v>
      </c>
      <c r="C203" s="12" t="s">
        <v>22</v>
      </c>
      <c r="D203" s="13" t="s">
        <v>91</v>
      </c>
      <c r="E203" s="13" t="s">
        <v>2355</v>
      </c>
    </row>
    <row r="204" spans="1:5" ht="51" x14ac:dyDescent="0.2">
      <c r="A204" s="12" t="s">
        <v>812</v>
      </c>
      <c r="B204" s="12" t="s">
        <v>2356</v>
      </c>
      <c r="C204" s="12" t="s">
        <v>22</v>
      </c>
      <c r="D204" s="13" t="s">
        <v>91</v>
      </c>
      <c r="E204" s="13" t="s">
        <v>2357</v>
      </c>
    </row>
    <row r="205" spans="1:5" ht="51" x14ac:dyDescent="0.2">
      <c r="A205" s="12" t="s">
        <v>816</v>
      </c>
      <c r="B205" s="12" t="s">
        <v>2358</v>
      </c>
      <c r="C205" s="12" t="s">
        <v>22</v>
      </c>
      <c r="D205" s="13" t="s">
        <v>91</v>
      </c>
      <c r="E205" s="13" t="s">
        <v>2359</v>
      </c>
    </row>
    <row r="206" spans="1:5" ht="51" x14ac:dyDescent="0.2">
      <c r="A206" s="12" t="s">
        <v>820</v>
      </c>
      <c r="B206" s="12" t="s">
        <v>2360</v>
      </c>
      <c r="C206" s="12" t="s">
        <v>22</v>
      </c>
      <c r="D206" s="13" t="s">
        <v>91</v>
      </c>
      <c r="E206" s="13" t="s">
        <v>2361</v>
      </c>
    </row>
    <row r="207" spans="1:5" ht="61.2" x14ac:dyDescent="0.2">
      <c r="A207" s="12" t="s">
        <v>824</v>
      </c>
      <c r="B207" s="12" t="s">
        <v>2362</v>
      </c>
      <c r="C207" s="12" t="s">
        <v>22</v>
      </c>
      <c r="D207" s="13" t="s">
        <v>91</v>
      </c>
      <c r="E207" s="13" t="s">
        <v>2363</v>
      </c>
    </row>
    <row r="208" spans="1:5" ht="61.2" x14ac:dyDescent="0.2">
      <c r="A208" s="12" t="s">
        <v>828</v>
      </c>
      <c r="B208" s="12" t="s">
        <v>2364</v>
      </c>
      <c r="C208" s="12" t="s">
        <v>22</v>
      </c>
      <c r="D208" s="13" t="s">
        <v>91</v>
      </c>
      <c r="E208" s="13" t="s">
        <v>2365</v>
      </c>
    </row>
    <row r="209" spans="1:5" ht="61.2" x14ac:dyDescent="0.2">
      <c r="A209" s="12" t="s">
        <v>832</v>
      </c>
      <c r="B209" s="12" t="s">
        <v>2366</v>
      </c>
      <c r="C209" s="12" t="s">
        <v>22</v>
      </c>
      <c r="D209" s="13" t="s">
        <v>91</v>
      </c>
      <c r="E209" s="13" t="s">
        <v>2367</v>
      </c>
    </row>
    <row r="210" spans="1:5" ht="61.2" x14ac:dyDescent="0.2">
      <c r="A210" s="12" t="s">
        <v>836</v>
      </c>
      <c r="B210" s="12" t="s">
        <v>2368</v>
      </c>
      <c r="C210" s="12" t="s">
        <v>22</v>
      </c>
      <c r="D210" s="13" t="s">
        <v>91</v>
      </c>
      <c r="E210" s="13" t="s">
        <v>2369</v>
      </c>
    </row>
    <row r="211" spans="1:5" ht="51" x14ac:dyDescent="0.2">
      <c r="A211" s="12" t="s">
        <v>840</v>
      </c>
      <c r="B211" s="12" t="s">
        <v>2370</v>
      </c>
      <c r="C211" s="12" t="s">
        <v>22</v>
      </c>
      <c r="D211" s="13" t="s">
        <v>91</v>
      </c>
      <c r="E211" s="13" t="s">
        <v>2371</v>
      </c>
    </row>
    <row r="212" spans="1:5" ht="51" x14ac:dyDescent="0.2">
      <c r="A212" s="12" t="s">
        <v>844</v>
      </c>
      <c r="B212" s="12" t="s">
        <v>2372</v>
      </c>
      <c r="C212" s="12" t="s">
        <v>22</v>
      </c>
      <c r="D212" s="13" t="s">
        <v>91</v>
      </c>
      <c r="E212" s="13" t="s">
        <v>2373</v>
      </c>
    </row>
    <row r="213" spans="1:5" ht="51" x14ac:dyDescent="0.2">
      <c r="A213" s="12" t="s">
        <v>848</v>
      </c>
      <c r="B213" s="12" t="s">
        <v>2374</v>
      </c>
      <c r="C213" s="12" t="s">
        <v>22</v>
      </c>
      <c r="D213" s="13" t="s">
        <v>91</v>
      </c>
      <c r="E213" s="13" t="s">
        <v>2375</v>
      </c>
    </row>
    <row r="214" spans="1:5" ht="71.400000000000006" x14ac:dyDescent="0.2">
      <c r="A214" s="12" t="s">
        <v>852</v>
      </c>
      <c r="B214" s="12" t="s">
        <v>2376</v>
      </c>
      <c r="C214" s="12" t="s">
        <v>22</v>
      </c>
      <c r="D214" s="13" t="s">
        <v>91</v>
      </c>
      <c r="E214" s="13" t="s">
        <v>2377</v>
      </c>
    </row>
    <row r="215" spans="1:5" ht="51" x14ac:dyDescent="0.2">
      <c r="A215" s="12" t="s">
        <v>856</v>
      </c>
      <c r="B215" s="12" t="s">
        <v>2378</v>
      </c>
      <c r="C215" s="12" t="s">
        <v>22</v>
      </c>
      <c r="D215" s="13" t="s">
        <v>91</v>
      </c>
      <c r="E215" s="13" t="s">
        <v>2379</v>
      </c>
    </row>
    <row r="216" spans="1:5" ht="51" x14ac:dyDescent="0.2">
      <c r="A216" s="12" t="s">
        <v>860</v>
      </c>
      <c r="B216" s="12" t="s">
        <v>2380</v>
      </c>
      <c r="C216" s="12" t="s">
        <v>22</v>
      </c>
      <c r="D216" s="13" t="s">
        <v>91</v>
      </c>
      <c r="E216" s="13" t="s">
        <v>2381</v>
      </c>
    </row>
    <row r="217" spans="1:5" ht="61.2" x14ac:dyDescent="0.2">
      <c r="A217" s="12" t="s">
        <v>864</v>
      </c>
      <c r="B217" s="12" t="s">
        <v>2382</v>
      </c>
      <c r="C217" s="12" t="s">
        <v>22</v>
      </c>
      <c r="D217" s="13" t="s">
        <v>91</v>
      </c>
      <c r="E217" s="13" t="s">
        <v>2383</v>
      </c>
    </row>
    <row r="218" spans="1:5" ht="51" x14ac:dyDescent="0.2">
      <c r="A218" s="12" t="s">
        <v>868</v>
      </c>
      <c r="B218" s="12" t="s">
        <v>2384</v>
      </c>
      <c r="C218" s="12" t="s">
        <v>22</v>
      </c>
      <c r="D218" s="13" t="s">
        <v>91</v>
      </c>
      <c r="E218" s="13" t="s">
        <v>2385</v>
      </c>
    </row>
    <row r="219" spans="1:5" ht="51" x14ac:dyDescent="0.2">
      <c r="A219" s="12" t="s">
        <v>872</v>
      </c>
      <c r="B219" s="12" t="s">
        <v>2386</v>
      </c>
      <c r="C219" s="12" t="s">
        <v>22</v>
      </c>
      <c r="D219" s="13" t="s">
        <v>91</v>
      </c>
      <c r="E219" s="13" t="s">
        <v>2387</v>
      </c>
    </row>
    <row r="220" spans="1:5" ht="51" x14ac:dyDescent="0.2">
      <c r="A220" s="12" t="s">
        <v>876</v>
      </c>
      <c r="B220" s="12" t="s">
        <v>2388</v>
      </c>
      <c r="C220" s="12" t="s">
        <v>22</v>
      </c>
      <c r="D220" s="13" t="s">
        <v>91</v>
      </c>
      <c r="E220" s="13" t="s">
        <v>2389</v>
      </c>
    </row>
    <row r="221" spans="1:5" ht="71.400000000000006" x14ac:dyDescent="0.2">
      <c r="A221" s="12" t="s">
        <v>880</v>
      </c>
      <c r="B221" s="12" t="s">
        <v>2390</v>
      </c>
      <c r="C221" s="12" t="s">
        <v>22</v>
      </c>
      <c r="D221" s="13" t="s">
        <v>91</v>
      </c>
      <c r="E221" s="13" t="s">
        <v>2391</v>
      </c>
    </row>
    <row r="222" spans="1:5" ht="61.2" x14ac:dyDescent="0.2">
      <c r="A222" s="12" t="s">
        <v>884</v>
      </c>
      <c r="B222" s="12" t="s">
        <v>2392</v>
      </c>
      <c r="C222" s="12" t="s">
        <v>22</v>
      </c>
      <c r="D222" s="13" t="s">
        <v>91</v>
      </c>
      <c r="E222" s="13" t="s">
        <v>2393</v>
      </c>
    </row>
    <row r="223" spans="1:5" ht="51" x14ac:dyDescent="0.2">
      <c r="A223" s="12" t="s">
        <v>888</v>
      </c>
      <c r="B223" s="12" t="s">
        <v>2394</v>
      </c>
      <c r="C223" s="12" t="s">
        <v>22</v>
      </c>
      <c r="D223" s="13" t="s">
        <v>91</v>
      </c>
      <c r="E223" s="13" t="s">
        <v>2395</v>
      </c>
    </row>
    <row r="224" spans="1:5" ht="51" x14ac:dyDescent="0.2">
      <c r="A224" s="12" t="s">
        <v>892</v>
      </c>
      <c r="B224" s="12" t="s">
        <v>2396</v>
      </c>
      <c r="C224" s="12" t="s">
        <v>22</v>
      </c>
      <c r="D224" s="13" t="s">
        <v>91</v>
      </c>
      <c r="E224" s="13" t="s">
        <v>2397</v>
      </c>
    </row>
    <row r="225" spans="1:5" ht="61.2" x14ac:dyDescent="0.2">
      <c r="A225" s="12" t="s">
        <v>896</v>
      </c>
      <c r="B225" s="12" t="s">
        <v>2398</v>
      </c>
      <c r="C225" s="12" t="s">
        <v>22</v>
      </c>
      <c r="D225" s="13" t="s">
        <v>91</v>
      </c>
      <c r="E225" s="13" t="s">
        <v>2399</v>
      </c>
    </row>
    <row r="226" spans="1:5" ht="61.2" x14ac:dyDescent="0.2">
      <c r="A226" s="12" t="s">
        <v>900</v>
      </c>
      <c r="B226" s="12" t="s">
        <v>2400</v>
      </c>
      <c r="C226" s="12" t="s">
        <v>22</v>
      </c>
      <c r="D226" s="13" t="s">
        <v>91</v>
      </c>
      <c r="E226" s="13" t="s">
        <v>2401</v>
      </c>
    </row>
    <row r="227" spans="1:5" ht="51" x14ac:dyDescent="0.2">
      <c r="A227" s="12" t="s">
        <v>904</v>
      </c>
      <c r="B227" s="12" t="s">
        <v>2402</v>
      </c>
      <c r="C227" s="12" t="s">
        <v>22</v>
      </c>
      <c r="D227" s="13" t="s">
        <v>91</v>
      </c>
      <c r="E227" s="13" t="s">
        <v>2403</v>
      </c>
    </row>
    <row r="228" spans="1:5" ht="61.2" x14ac:dyDescent="0.2">
      <c r="A228" s="12" t="s">
        <v>908</v>
      </c>
      <c r="B228" s="12" t="s">
        <v>2404</v>
      </c>
      <c r="C228" s="12" t="s">
        <v>22</v>
      </c>
      <c r="D228" s="13" t="s">
        <v>91</v>
      </c>
      <c r="E228" s="13" t="s">
        <v>2405</v>
      </c>
    </row>
    <row r="229" spans="1:5" ht="61.2" x14ac:dyDescent="0.2">
      <c r="A229" s="12" t="s">
        <v>912</v>
      </c>
      <c r="B229" s="12" t="s">
        <v>2406</v>
      </c>
      <c r="C229" s="12" t="s">
        <v>22</v>
      </c>
      <c r="D229" s="13" t="s">
        <v>91</v>
      </c>
      <c r="E229" s="13" t="s">
        <v>2407</v>
      </c>
    </row>
    <row r="230" spans="1:5" ht="51" x14ac:dyDescent="0.2">
      <c r="A230" s="12" t="s">
        <v>916</v>
      </c>
      <c r="B230" s="12" t="s">
        <v>2408</v>
      </c>
      <c r="C230" s="12" t="s">
        <v>22</v>
      </c>
      <c r="D230" s="13" t="s">
        <v>91</v>
      </c>
      <c r="E230" s="13" t="s">
        <v>2409</v>
      </c>
    </row>
    <row r="231" spans="1:5" ht="51" x14ac:dyDescent="0.2">
      <c r="A231" s="12" t="s">
        <v>920</v>
      </c>
      <c r="B231" s="12" t="s">
        <v>2410</v>
      </c>
      <c r="C231" s="12" t="s">
        <v>22</v>
      </c>
      <c r="D231" s="13" t="s">
        <v>91</v>
      </c>
      <c r="E231" s="13" t="s">
        <v>2411</v>
      </c>
    </row>
    <row r="232" spans="1:5" ht="61.2" x14ac:dyDescent="0.2">
      <c r="A232" s="12" t="s">
        <v>924</v>
      </c>
      <c r="B232" s="12" t="s">
        <v>2412</v>
      </c>
      <c r="C232" s="12" t="s">
        <v>22</v>
      </c>
      <c r="D232" s="13" t="s">
        <v>91</v>
      </c>
      <c r="E232" s="13" t="s">
        <v>2413</v>
      </c>
    </row>
    <row r="233" spans="1:5" ht="51" x14ac:dyDescent="0.2">
      <c r="A233" s="12" t="s">
        <v>927</v>
      </c>
      <c r="B233" s="12" t="s">
        <v>2414</v>
      </c>
      <c r="C233" s="12" t="s">
        <v>22</v>
      </c>
      <c r="D233" s="13" t="s">
        <v>91</v>
      </c>
      <c r="E233" s="13" t="s">
        <v>2415</v>
      </c>
    </row>
    <row r="234" spans="1:5" ht="51" x14ac:dyDescent="0.2">
      <c r="A234" s="12" t="s">
        <v>931</v>
      </c>
      <c r="B234" s="12" t="s">
        <v>2416</v>
      </c>
      <c r="C234" s="12" t="s">
        <v>22</v>
      </c>
      <c r="D234" s="13" t="s">
        <v>91</v>
      </c>
      <c r="E234" s="13" t="s">
        <v>2417</v>
      </c>
    </row>
    <row r="235" spans="1:5" ht="51" x14ac:dyDescent="0.2">
      <c r="A235" s="12" t="s">
        <v>935</v>
      </c>
      <c r="B235" s="12" t="s">
        <v>2418</v>
      </c>
      <c r="C235" s="12" t="s">
        <v>22</v>
      </c>
      <c r="D235" s="13" t="s">
        <v>91</v>
      </c>
      <c r="E235" s="13" t="s">
        <v>2419</v>
      </c>
    </row>
    <row r="236" spans="1:5" ht="61.2" x14ac:dyDescent="0.2">
      <c r="A236" s="12" t="s">
        <v>939</v>
      </c>
      <c r="B236" s="12" t="s">
        <v>2420</v>
      </c>
      <c r="C236" s="12" t="s">
        <v>22</v>
      </c>
      <c r="D236" s="13" t="s">
        <v>91</v>
      </c>
      <c r="E236" s="13" t="s">
        <v>2421</v>
      </c>
    </row>
    <row r="237" spans="1:5" ht="51" x14ac:dyDescent="0.2">
      <c r="A237" s="12" t="s">
        <v>943</v>
      </c>
      <c r="B237" s="12" t="s">
        <v>2422</v>
      </c>
      <c r="C237" s="12" t="s">
        <v>22</v>
      </c>
      <c r="D237" s="13" t="s">
        <v>91</v>
      </c>
      <c r="E237" s="13" t="s">
        <v>2423</v>
      </c>
    </row>
    <row r="238" spans="1:5" ht="51" x14ac:dyDescent="0.2">
      <c r="A238" s="12" t="s">
        <v>947</v>
      </c>
      <c r="B238" s="12" t="s">
        <v>2424</v>
      </c>
      <c r="C238" s="12" t="s">
        <v>22</v>
      </c>
      <c r="D238" s="13" t="s">
        <v>91</v>
      </c>
      <c r="E238" s="13" t="s">
        <v>2425</v>
      </c>
    </row>
    <row r="239" spans="1:5" ht="51" x14ac:dyDescent="0.2">
      <c r="A239" s="12" t="s">
        <v>951</v>
      </c>
      <c r="B239" s="12" t="s">
        <v>2426</v>
      </c>
      <c r="C239" s="12" t="s">
        <v>22</v>
      </c>
      <c r="D239" s="13" t="s">
        <v>91</v>
      </c>
      <c r="E239" s="13" t="s">
        <v>2427</v>
      </c>
    </row>
    <row r="240" spans="1:5" ht="51" x14ac:dyDescent="0.2">
      <c r="A240" s="12" t="s">
        <v>955</v>
      </c>
      <c r="B240" s="12" t="s">
        <v>2428</v>
      </c>
      <c r="C240" s="12" t="s">
        <v>22</v>
      </c>
      <c r="D240" s="13" t="s">
        <v>91</v>
      </c>
      <c r="E240" s="13" t="s">
        <v>2429</v>
      </c>
    </row>
    <row r="241" spans="1:5" ht="61.2" x14ac:dyDescent="0.2">
      <c r="A241" s="12" t="s">
        <v>959</v>
      </c>
      <c r="B241" s="12" t="s">
        <v>2430</v>
      </c>
      <c r="C241" s="12" t="s">
        <v>22</v>
      </c>
      <c r="D241" s="13" t="s">
        <v>91</v>
      </c>
      <c r="E241" s="13" t="s">
        <v>2431</v>
      </c>
    </row>
    <row r="242" spans="1:5" ht="91.8" x14ac:dyDescent="0.2">
      <c r="A242" s="12" t="s">
        <v>963</v>
      </c>
      <c r="B242" s="12" t="s">
        <v>2432</v>
      </c>
      <c r="C242" s="12" t="s">
        <v>22</v>
      </c>
      <c r="D242" s="13" t="s">
        <v>91</v>
      </c>
      <c r="E242" s="13" t="s">
        <v>2433</v>
      </c>
    </row>
    <row r="243" spans="1:5" ht="71.400000000000006" x14ac:dyDescent="0.2">
      <c r="A243" s="12" t="s">
        <v>967</v>
      </c>
      <c r="B243" s="12" t="s">
        <v>2434</v>
      </c>
      <c r="C243" s="12" t="s">
        <v>22</v>
      </c>
      <c r="D243" s="13" t="s">
        <v>91</v>
      </c>
      <c r="E243" s="13" t="s">
        <v>2435</v>
      </c>
    </row>
    <row r="244" spans="1:5" ht="51" x14ac:dyDescent="0.2">
      <c r="A244" s="12" t="s">
        <v>971</v>
      </c>
      <c r="B244" s="12" t="s">
        <v>2436</v>
      </c>
      <c r="C244" s="12" t="s">
        <v>22</v>
      </c>
      <c r="D244" s="13" t="s">
        <v>91</v>
      </c>
      <c r="E244" s="13" t="s">
        <v>2437</v>
      </c>
    </row>
    <row r="245" spans="1:5" ht="61.2" x14ac:dyDescent="0.2">
      <c r="A245" s="12" t="s">
        <v>975</v>
      </c>
      <c r="B245" s="12" t="s">
        <v>2438</v>
      </c>
      <c r="C245" s="12" t="s">
        <v>22</v>
      </c>
      <c r="D245" s="13" t="s">
        <v>91</v>
      </c>
      <c r="E245" s="13" t="s">
        <v>2439</v>
      </c>
    </row>
    <row r="246" spans="1:5" ht="51" x14ac:dyDescent="0.2">
      <c r="A246" s="12" t="s">
        <v>979</v>
      </c>
      <c r="B246" s="12" t="s">
        <v>2440</v>
      </c>
      <c r="C246" s="12" t="s">
        <v>22</v>
      </c>
      <c r="D246" s="13" t="s">
        <v>91</v>
      </c>
      <c r="E246" s="13" t="s">
        <v>2441</v>
      </c>
    </row>
    <row r="247" spans="1:5" ht="51" x14ac:dyDescent="0.2">
      <c r="A247" s="12" t="s">
        <v>983</v>
      </c>
      <c r="B247" s="12" t="s">
        <v>2442</v>
      </c>
      <c r="C247" s="12" t="s">
        <v>22</v>
      </c>
      <c r="D247" s="13" t="s">
        <v>91</v>
      </c>
      <c r="E247" s="13" t="s">
        <v>2443</v>
      </c>
    </row>
    <row r="248" spans="1:5" ht="61.2" x14ac:dyDescent="0.2">
      <c r="A248" s="12" t="s">
        <v>987</v>
      </c>
      <c r="B248" s="12" t="s">
        <v>2444</v>
      </c>
      <c r="C248" s="12" t="s">
        <v>22</v>
      </c>
      <c r="D248" s="13" t="s">
        <v>91</v>
      </c>
      <c r="E248" s="13" t="s">
        <v>2445</v>
      </c>
    </row>
    <row r="249" spans="1:5" ht="71.400000000000006" x14ac:dyDescent="0.2">
      <c r="A249" s="12" t="s">
        <v>991</v>
      </c>
      <c r="B249" s="12" t="s">
        <v>2446</v>
      </c>
      <c r="C249" s="12" t="s">
        <v>22</v>
      </c>
      <c r="D249" s="13" t="s">
        <v>91</v>
      </c>
      <c r="E249" s="13" t="s">
        <v>2447</v>
      </c>
    </row>
    <row r="250" spans="1:5" ht="51" x14ac:dyDescent="0.2">
      <c r="A250" s="12" t="s">
        <v>995</v>
      </c>
      <c r="B250" s="12" t="s">
        <v>2448</v>
      </c>
      <c r="C250" s="12" t="s">
        <v>22</v>
      </c>
      <c r="D250" s="13" t="s">
        <v>91</v>
      </c>
      <c r="E250" s="13" t="s">
        <v>2449</v>
      </c>
    </row>
    <row r="251" spans="1:5" ht="51" x14ac:dyDescent="0.2">
      <c r="A251" s="12" t="s">
        <v>999</v>
      </c>
      <c r="B251" s="12" t="s">
        <v>2450</v>
      </c>
      <c r="C251" s="12" t="s">
        <v>22</v>
      </c>
      <c r="D251" s="13" t="s">
        <v>91</v>
      </c>
      <c r="E251" s="13" t="s">
        <v>2451</v>
      </c>
    </row>
    <row r="252" spans="1:5" ht="51" x14ac:dyDescent="0.2">
      <c r="A252" s="12" t="s">
        <v>1003</v>
      </c>
      <c r="B252" s="12" t="s">
        <v>2452</v>
      </c>
      <c r="C252" s="12" t="s">
        <v>22</v>
      </c>
      <c r="D252" s="13" t="s">
        <v>91</v>
      </c>
      <c r="E252" s="13" t="s">
        <v>2453</v>
      </c>
    </row>
    <row r="253" spans="1:5" ht="51" x14ac:dyDescent="0.2">
      <c r="A253" s="12" t="s">
        <v>1007</v>
      </c>
      <c r="B253" s="12" t="s">
        <v>2454</v>
      </c>
      <c r="C253" s="12" t="s">
        <v>22</v>
      </c>
      <c r="D253" s="13" t="s">
        <v>91</v>
      </c>
      <c r="E253" s="13" t="s">
        <v>2455</v>
      </c>
    </row>
    <row r="254" spans="1:5" ht="51" x14ac:dyDescent="0.2">
      <c r="A254" s="12" t="s">
        <v>1011</v>
      </c>
      <c r="B254" s="12" t="s">
        <v>2456</v>
      </c>
      <c r="C254" s="12" t="s">
        <v>22</v>
      </c>
      <c r="D254" s="13" t="s">
        <v>91</v>
      </c>
      <c r="E254" s="13" t="s">
        <v>2457</v>
      </c>
    </row>
    <row r="255" spans="1:5" ht="61.2" x14ac:dyDescent="0.2">
      <c r="A255" s="12" t="s">
        <v>1015</v>
      </c>
      <c r="B255" s="12" t="s">
        <v>2458</v>
      </c>
      <c r="C255" s="12" t="s">
        <v>22</v>
      </c>
      <c r="D255" s="13" t="s">
        <v>91</v>
      </c>
      <c r="E255" s="13" t="s">
        <v>2459</v>
      </c>
    </row>
    <row r="256" spans="1:5" ht="51" x14ac:dyDescent="0.2">
      <c r="A256" s="12" t="s">
        <v>1019</v>
      </c>
      <c r="B256" s="12" t="s">
        <v>2460</v>
      </c>
      <c r="C256" s="12" t="s">
        <v>22</v>
      </c>
      <c r="D256" s="13" t="s">
        <v>91</v>
      </c>
      <c r="E256" s="13" t="s">
        <v>2461</v>
      </c>
    </row>
    <row r="257" spans="1:5" ht="81.599999999999994" x14ac:dyDescent="0.2">
      <c r="A257" s="12" t="s">
        <v>1023</v>
      </c>
      <c r="B257" s="12" t="s">
        <v>2462</v>
      </c>
      <c r="C257" s="12" t="s">
        <v>22</v>
      </c>
      <c r="D257" s="13" t="s">
        <v>91</v>
      </c>
      <c r="E257" s="13" t="s">
        <v>2463</v>
      </c>
    </row>
    <row r="258" spans="1:5" ht="61.2" x14ac:dyDescent="0.2">
      <c r="A258" s="12" t="s">
        <v>1027</v>
      </c>
      <c r="B258" s="12" t="s">
        <v>2464</v>
      </c>
      <c r="C258" s="12" t="s">
        <v>22</v>
      </c>
      <c r="D258" s="13" t="s">
        <v>91</v>
      </c>
      <c r="E258" s="13" t="s">
        <v>2465</v>
      </c>
    </row>
    <row r="259" spans="1:5" ht="71.400000000000006" x14ac:dyDescent="0.2">
      <c r="A259" s="12" t="s">
        <v>1032</v>
      </c>
      <c r="B259" s="12" t="s">
        <v>2466</v>
      </c>
      <c r="C259" s="12" t="s">
        <v>22</v>
      </c>
      <c r="D259" s="13" t="s">
        <v>91</v>
      </c>
      <c r="E259" s="13" t="s">
        <v>2467</v>
      </c>
    </row>
    <row r="260" spans="1:5" ht="61.2" x14ac:dyDescent="0.2">
      <c r="A260" s="12" t="s">
        <v>1036</v>
      </c>
      <c r="B260" s="12" t="s">
        <v>2468</v>
      </c>
      <c r="C260" s="12" t="s">
        <v>22</v>
      </c>
      <c r="D260" s="13" t="s">
        <v>91</v>
      </c>
      <c r="E260" s="13" t="s">
        <v>2469</v>
      </c>
    </row>
    <row r="261" spans="1:5" ht="51" x14ac:dyDescent="0.2">
      <c r="A261" s="12" t="s">
        <v>1040</v>
      </c>
      <c r="B261" s="12" t="s">
        <v>2470</v>
      </c>
      <c r="C261" s="12" t="s">
        <v>22</v>
      </c>
      <c r="D261" s="13" t="s">
        <v>91</v>
      </c>
      <c r="E261" s="13" t="s">
        <v>2471</v>
      </c>
    </row>
    <row r="262" spans="1:5" ht="51" x14ac:dyDescent="0.2">
      <c r="A262" s="12" t="s">
        <v>1044</v>
      </c>
      <c r="B262" s="12" t="s">
        <v>2472</v>
      </c>
      <c r="C262" s="12" t="s">
        <v>22</v>
      </c>
      <c r="D262" s="13" t="s">
        <v>91</v>
      </c>
      <c r="E262" s="13" t="s">
        <v>2473</v>
      </c>
    </row>
    <row r="263" spans="1:5" ht="51" x14ac:dyDescent="0.2">
      <c r="A263" s="12" t="s">
        <v>1048</v>
      </c>
      <c r="B263" s="12" t="s">
        <v>2474</v>
      </c>
      <c r="C263" s="12" t="s">
        <v>22</v>
      </c>
      <c r="D263" s="13" t="s">
        <v>91</v>
      </c>
      <c r="E263" s="13" t="s">
        <v>2475</v>
      </c>
    </row>
    <row r="264" spans="1:5" ht="51" x14ac:dyDescent="0.2">
      <c r="A264" s="12" t="s">
        <v>1056</v>
      </c>
      <c r="B264" s="12" t="s">
        <v>2476</v>
      </c>
      <c r="C264" s="12" t="s">
        <v>22</v>
      </c>
      <c r="D264" s="13" t="s">
        <v>91</v>
      </c>
      <c r="E264" s="13" t="s">
        <v>2477</v>
      </c>
    </row>
    <row r="265" spans="1:5" ht="51" x14ac:dyDescent="0.2">
      <c r="A265" s="12" t="s">
        <v>1060</v>
      </c>
      <c r="B265" s="12" t="s">
        <v>2478</v>
      </c>
      <c r="C265" s="12" t="s">
        <v>22</v>
      </c>
      <c r="D265" s="13" t="s">
        <v>91</v>
      </c>
      <c r="E265" s="13" t="s">
        <v>2479</v>
      </c>
    </row>
    <row r="266" spans="1:5" ht="51" x14ac:dyDescent="0.2">
      <c r="A266" s="12" t="s">
        <v>1064</v>
      </c>
      <c r="B266" s="12" t="s">
        <v>2480</v>
      </c>
      <c r="C266" s="12" t="s">
        <v>22</v>
      </c>
      <c r="D266" s="13" t="s">
        <v>91</v>
      </c>
      <c r="E266" s="13" t="s">
        <v>2481</v>
      </c>
    </row>
    <row r="267" spans="1:5" ht="51" x14ac:dyDescent="0.2">
      <c r="A267" s="12" t="s">
        <v>1068</v>
      </c>
      <c r="B267" s="12" t="s">
        <v>2482</v>
      </c>
      <c r="C267" s="12" t="s">
        <v>22</v>
      </c>
      <c r="D267" s="13" t="s">
        <v>91</v>
      </c>
      <c r="E267" s="13" t="s">
        <v>2483</v>
      </c>
    </row>
    <row r="268" spans="1:5" ht="51" x14ac:dyDescent="0.2">
      <c r="A268" s="12" t="s">
        <v>1072</v>
      </c>
      <c r="B268" s="12" t="s">
        <v>2484</v>
      </c>
      <c r="C268" s="12" t="s">
        <v>22</v>
      </c>
      <c r="D268" s="13" t="s">
        <v>91</v>
      </c>
      <c r="E268" s="13" t="s">
        <v>2485</v>
      </c>
    </row>
    <row r="269" spans="1:5" ht="61.2" x14ac:dyDescent="0.2">
      <c r="A269" s="12" t="s">
        <v>1076</v>
      </c>
      <c r="B269" s="12" t="s">
        <v>2486</v>
      </c>
      <c r="C269" s="12" t="s">
        <v>22</v>
      </c>
      <c r="D269" s="13" t="s">
        <v>91</v>
      </c>
      <c r="E269" s="13" t="s">
        <v>2487</v>
      </c>
    </row>
    <row r="270" spans="1:5" ht="51" x14ac:dyDescent="0.2">
      <c r="A270" s="12" t="s">
        <v>1080</v>
      </c>
      <c r="B270" s="12" t="s">
        <v>2488</v>
      </c>
      <c r="C270" s="12" t="s">
        <v>22</v>
      </c>
      <c r="D270" s="13" t="s">
        <v>91</v>
      </c>
      <c r="E270" s="13" t="s">
        <v>2489</v>
      </c>
    </row>
    <row r="271" spans="1:5" ht="51" x14ac:dyDescent="0.2">
      <c r="A271" s="12" t="s">
        <v>1084</v>
      </c>
      <c r="B271" s="12" t="s">
        <v>2490</v>
      </c>
      <c r="C271" s="12" t="s">
        <v>22</v>
      </c>
      <c r="D271" s="13" t="s">
        <v>91</v>
      </c>
      <c r="E271" s="13" t="s">
        <v>2491</v>
      </c>
    </row>
    <row r="272" spans="1:5" ht="51" x14ac:dyDescent="0.2">
      <c r="A272" s="12" t="s">
        <v>2492</v>
      </c>
      <c r="B272" s="12" t="s">
        <v>2493</v>
      </c>
      <c r="C272" s="12" t="s">
        <v>22</v>
      </c>
      <c r="D272" s="13" t="s">
        <v>91</v>
      </c>
      <c r="E272" s="13" t="s">
        <v>2494</v>
      </c>
    </row>
    <row r="273" spans="1:5" ht="51" x14ac:dyDescent="0.2">
      <c r="A273" s="12" t="s">
        <v>1088</v>
      </c>
      <c r="B273" s="12" t="s">
        <v>2495</v>
      </c>
      <c r="C273" s="12" t="s">
        <v>22</v>
      </c>
      <c r="D273" s="13" t="s">
        <v>91</v>
      </c>
      <c r="E273" s="13" t="s">
        <v>2496</v>
      </c>
    </row>
    <row r="274" spans="1:5" ht="51" x14ac:dyDescent="0.2">
      <c r="A274" s="12" t="s">
        <v>1092</v>
      </c>
      <c r="B274" s="12" t="s">
        <v>2497</v>
      </c>
      <c r="C274" s="12" t="s">
        <v>22</v>
      </c>
      <c r="D274" s="13" t="s">
        <v>91</v>
      </c>
      <c r="E274" s="13" t="s">
        <v>2498</v>
      </c>
    </row>
    <row r="275" spans="1:5" ht="51" x14ac:dyDescent="0.2">
      <c r="A275" s="12" t="s">
        <v>1096</v>
      </c>
      <c r="B275" s="12" t="s">
        <v>2499</v>
      </c>
      <c r="C275" s="12" t="s">
        <v>22</v>
      </c>
      <c r="D275" s="13" t="s">
        <v>91</v>
      </c>
      <c r="E275" s="13" t="s">
        <v>2500</v>
      </c>
    </row>
    <row r="276" spans="1:5" ht="51" x14ac:dyDescent="0.2">
      <c r="A276" s="12" t="s">
        <v>1100</v>
      </c>
      <c r="B276" s="12" t="s">
        <v>2501</v>
      </c>
      <c r="C276" s="12" t="s">
        <v>22</v>
      </c>
      <c r="D276" s="13" t="s">
        <v>91</v>
      </c>
      <c r="E276" s="13" t="s">
        <v>2502</v>
      </c>
    </row>
    <row r="277" spans="1:5" ht="51" x14ac:dyDescent="0.2">
      <c r="A277" s="12" t="s">
        <v>1104</v>
      </c>
      <c r="B277" s="12" t="s">
        <v>2503</v>
      </c>
      <c r="C277" s="12" t="s">
        <v>22</v>
      </c>
      <c r="D277" s="13" t="s">
        <v>91</v>
      </c>
      <c r="E277" s="13" t="s">
        <v>2504</v>
      </c>
    </row>
    <row r="278" spans="1:5" ht="61.2" x14ac:dyDescent="0.2">
      <c r="A278" s="12" t="s">
        <v>1108</v>
      </c>
      <c r="B278" s="12" t="s">
        <v>2505</v>
      </c>
      <c r="C278" s="12" t="s">
        <v>22</v>
      </c>
      <c r="D278" s="13" t="s">
        <v>91</v>
      </c>
      <c r="E278" s="13" t="s">
        <v>2506</v>
      </c>
    </row>
    <row r="279" spans="1:5" ht="51" x14ac:dyDescent="0.2">
      <c r="A279" s="12" t="s">
        <v>1112</v>
      </c>
      <c r="B279" s="12" t="s">
        <v>2507</v>
      </c>
      <c r="C279" s="12" t="s">
        <v>22</v>
      </c>
      <c r="D279" s="13" t="s">
        <v>91</v>
      </c>
      <c r="E279" s="13" t="s">
        <v>2508</v>
      </c>
    </row>
    <row r="280" spans="1:5" ht="61.2" x14ac:dyDescent="0.2">
      <c r="A280" s="12" t="s">
        <v>1120</v>
      </c>
      <c r="B280" s="12" t="s">
        <v>2509</v>
      </c>
      <c r="C280" s="12" t="s">
        <v>22</v>
      </c>
      <c r="D280" s="13" t="s">
        <v>91</v>
      </c>
      <c r="E280" s="13" t="s">
        <v>2510</v>
      </c>
    </row>
    <row r="281" spans="1:5" ht="51" x14ac:dyDescent="0.2">
      <c r="A281" s="12" t="s">
        <v>1124</v>
      </c>
      <c r="B281" s="12" t="s">
        <v>2511</v>
      </c>
      <c r="C281" s="12" t="s">
        <v>22</v>
      </c>
      <c r="D281" s="13" t="s">
        <v>91</v>
      </c>
      <c r="E281" s="13" t="s">
        <v>2512</v>
      </c>
    </row>
    <row r="282" spans="1:5" ht="51" x14ac:dyDescent="0.2">
      <c r="A282" s="12" t="s">
        <v>1128</v>
      </c>
      <c r="B282" s="12" t="s">
        <v>2513</v>
      </c>
      <c r="C282" s="12" t="s">
        <v>22</v>
      </c>
      <c r="D282" s="13" t="s">
        <v>91</v>
      </c>
      <c r="E282" s="13" t="s">
        <v>2514</v>
      </c>
    </row>
    <row r="283" spans="1:5" ht="51" x14ac:dyDescent="0.2">
      <c r="A283" s="12" t="s">
        <v>1132</v>
      </c>
      <c r="B283" s="12" t="s">
        <v>2515</v>
      </c>
      <c r="C283" s="12" t="s">
        <v>22</v>
      </c>
      <c r="D283" s="13" t="s">
        <v>91</v>
      </c>
      <c r="E283" s="13" t="s">
        <v>2516</v>
      </c>
    </row>
    <row r="284" spans="1:5" ht="51" x14ac:dyDescent="0.2">
      <c r="A284" s="12" t="s">
        <v>1136</v>
      </c>
      <c r="B284" s="12" t="s">
        <v>2517</v>
      </c>
      <c r="C284" s="12" t="s">
        <v>22</v>
      </c>
      <c r="D284" s="13" t="s">
        <v>91</v>
      </c>
      <c r="E284" s="13" t="s">
        <v>2518</v>
      </c>
    </row>
    <row r="285" spans="1:5" ht="51" x14ac:dyDescent="0.2">
      <c r="A285" s="12" t="s">
        <v>1140</v>
      </c>
      <c r="B285" s="12" t="s">
        <v>2519</v>
      </c>
      <c r="C285" s="12" t="s">
        <v>22</v>
      </c>
      <c r="D285" s="13" t="s">
        <v>91</v>
      </c>
      <c r="E285" s="13" t="s">
        <v>2520</v>
      </c>
    </row>
    <row r="286" spans="1:5" ht="51" x14ac:dyDescent="0.2">
      <c r="A286" s="12" t="s">
        <v>1144</v>
      </c>
      <c r="B286" s="12" t="s">
        <v>2521</v>
      </c>
      <c r="C286" s="12" t="s">
        <v>22</v>
      </c>
      <c r="D286" s="13" t="s">
        <v>91</v>
      </c>
      <c r="E286" s="13" t="s">
        <v>2522</v>
      </c>
    </row>
    <row r="287" spans="1:5" ht="51" x14ac:dyDescent="0.2">
      <c r="A287" s="12" t="s">
        <v>1148</v>
      </c>
      <c r="B287" s="12" t="s">
        <v>2523</v>
      </c>
      <c r="C287" s="12" t="s">
        <v>22</v>
      </c>
      <c r="D287" s="13" t="s">
        <v>91</v>
      </c>
      <c r="E287" s="13" t="s">
        <v>2524</v>
      </c>
    </row>
    <row r="288" spans="1:5" ht="51" x14ac:dyDescent="0.2">
      <c r="A288" s="12" t="s">
        <v>1152</v>
      </c>
      <c r="B288" s="12" t="s">
        <v>2525</v>
      </c>
      <c r="C288" s="12" t="s">
        <v>22</v>
      </c>
      <c r="D288" s="13" t="s">
        <v>91</v>
      </c>
      <c r="E288" s="13" t="s">
        <v>2526</v>
      </c>
    </row>
    <row r="289" spans="1:5" ht="51" x14ac:dyDescent="0.2">
      <c r="A289" s="12" t="s">
        <v>1156</v>
      </c>
      <c r="B289" s="12" t="s">
        <v>2527</v>
      </c>
      <c r="C289" s="12" t="s">
        <v>22</v>
      </c>
      <c r="D289" s="13" t="s">
        <v>91</v>
      </c>
      <c r="E289" s="13" t="s">
        <v>2528</v>
      </c>
    </row>
    <row r="290" spans="1:5" ht="81.599999999999994" x14ac:dyDescent="0.2">
      <c r="A290" s="12" t="s">
        <v>1160</v>
      </c>
      <c r="B290" s="12" t="s">
        <v>2529</v>
      </c>
      <c r="C290" s="12" t="s">
        <v>22</v>
      </c>
      <c r="D290" s="13" t="s">
        <v>91</v>
      </c>
      <c r="E290" s="13" t="s">
        <v>2530</v>
      </c>
    </row>
    <row r="291" spans="1:5" ht="51" x14ac:dyDescent="0.2">
      <c r="A291" s="12" t="s">
        <v>1164</v>
      </c>
      <c r="B291" s="12" t="s">
        <v>2531</v>
      </c>
      <c r="C291" s="12" t="s">
        <v>22</v>
      </c>
      <c r="D291" s="13" t="s">
        <v>91</v>
      </c>
      <c r="E291" s="13" t="s">
        <v>2532</v>
      </c>
    </row>
    <row r="292" spans="1:5" ht="61.2" x14ac:dyDescent="0.2">
      <c r="A292" s="12" t="s">
        <v>1172</v>
      </c>
      <c r="B292" s="12" t="s">
        <v>2533</v>
      </c>
      <c r="C292" s="12" t="s">
        <v>22</v>
      </c>
      <c r="D292" s="13" t="s">
        <v>91</v>
      </c>
      <c r="E292" s="13" t="s">
        <v>2534</v>
      </c>
    </row>
    <row r="293" spans="1:5" ht="61.2" x14ac:dyDescent="0.2">
      <c r="A293" s="12" t="s">
        <v>1176</v>
      </c>
      <c r="B293" s="12" t="s">
        <v>2535</v>
      </c>
      <c r="C293" s="12" t="s">
        <v>22</v>
      </c>
      <c r="D293" s="13" t="s">
        <v>91</v>
      </c>
      <c r="E293" s="13" t="s">
        <v>2536</v>
      </c>
    </row>
    <row r="294" spans="1:5" ht="51" x14ac:dyDescent="0.2">
      <c r="A294" s="12" t="s">
        <v>1180</v>
      </c>
      <c r="B294" s="12" t="s">
        <v>2537</v>
      </c>
      <c r="C294" s="12" t="s">
        <v>22</v>
      </c>
      <c r="D294" s="13" t="s">
        <v>91</v>
      </c>
      <c r="E294" s="13" t="s">
        <v>2538</v>
      </c>
    </row>
    <row r="295" spans="1:5" ht="51" x14ac:dyDescent="0.2">
      <c r="A295" s="12" t="s">
        <v>1184</v>
      </c>
      <c r="B295" s="12" t="s">
        <v>2539</v>
      </c>
      <c r="C295" s="12" t="s">
        <v>22</v>
      </c>
      <c r="D295" s="13" t="s">
        <v>91</v>
      </c>
      <c r="E295" s="13" t="s">
        <v>2540</v>
      </c>
    </row>
    <row r="296" spans="1:5" ht="51" x14ac:dyDescent="0.2">
      <c r="A296" s="12" t="s">
        <v>1188</v>
      </c>
      <c r="B296" s="12" t="s">
        <v>2541</v>
      </c>
      <c r="C296" s="12" t="s">
        <v>22</v>
      </c>
      <c r="D296" s="13" t="s">
        <v>91</v>
      </c>
      <c r="E296" s="13" t="s">
        <v>2542</v>
      </c>
    </row>
    <row r="297" spans="1:5" ht="51" x14ac:dyDescent="0.2">
      <c r="A297" s="12" t="s">
        <v>1192</v>
      </c>
      <c r="B297" s="12" t="s">
        <v>2543</v>
      </c>
      <c r="C297" s="12" t="s">
        <v>22</v>
      </c>
      <c r="D297" s="13" t="s">
        <v>91</v>
      </c>
      <c r="E297" s="13" t="s">
        <v>2544</v>
      </c>
    </row>
    <row r="298" spans="1:5" ht="51" x14ac:dyDescent="0.2">
      <c r="A298" s="12" t="s">
        <v>1196</v>
      </c>
      <c r="B298" s="12" t="s">
        <v>2545</v>
      </c>
      <c r="C298" s="12" t="s">
        <v>22</v>
      </c>
      <c r="D298" s="13" t="s">
        <v>91</v>
      </c>
      <c r="E298" s="13" t="s">
        <v>2546</v>
      </c>
    </row>
    <row r="299" spans="1:5" ht="71.400000000000006" x14ac:dyDescent="0.2">
      <c r="A299" s="12" t="s">
        <v>1200</v>
      </c>
      <c r="B299" s="12" t="s">
        <v>2547</v>
      </c>
      <c r="C299" s="12" t="s">
        <v>22</v>
      </c>
      <c r="D299" s="13" t="s">
        <v>91</v>
      </c>
      <c r="E299" s="13" t="s">
        <v>2548</v>
      </c>
    </row>
    <row r="300" spans="1:5" ht="61.2" x14ac:dyDescent="0.2">
      <c r="A300" s="12" t="s">
        <v>1204</v>
      </c>
      <c r="B300" s="12" t="s">
        <v>2549</v>
      </c>
      <c r="C300" s="12" t="s">
        <v>22</v>
      </c>
      <c r="D300" s="13" t="s">
        <v>91</v>
      </c>
      <c r="E300" s="13" t="s">
        <v>2550</v>
      </c>
    </row>
    <row r="301" spans="1:5" ht="51" x14ac:dyDescent="0.2">
      <c r="A301" s="12" t="s">
        <v>1208</v>
      </c>
      <c r="B301" s="12" t="s">
        <v>2551</v>
      </c>
      <c r="C301" s="12" t="s">
        <v>22</v>
      </c>
      <c r="D301" s="13" t="s">
        <v>91</v>
      </c>
      <c r="E301" s="13" t="s">
        <v>2552</v>
      </c>
    </row>
    <row r="302" spans="1:5" ht="51" x14ac:dyDescent="0.2">
      <c r="A302" s="12" t="s">
        <v>1212</v>
      </c>
      <c r="B302" s="12" t="s">
        <v>2553</v>
      </c>
      <c r="C302" s="12" t="s">
        <v>22</v>
      </c>
      <c r="D302" s="13" t="s">
        <v>91</v>
      </c>
      <c r="E302" s="13" t="s">
        <v>2554</v>
      </c>
    </row>
    <row r="303" spans="1:5" ht="71.400000000000006" x14ac:dyDescent="0.2">
      <c r="A303" s="12" t="s">
        <v>1216</v>
      </c>
      <c r="B303" s="12" t="s">
        <v>2555</v>
      </c>
      <c r="C303" s="12" t="s">
        <v>22</v>
      </c>
      <c r="D303" s="13" t="s">
        <v>91</v>
      </c>
      <c r="E303" s="13" t="s">
        <v>2556</v>
      </c>
    </row>
    <row r="304" spans="1:5" ht="51" x14ac:dyDescent="0.2">
      <c r="A304" s="12" t="s">
        <v>1220</v>
      </c>
      <c r="B304" s="12" t="s">
        <v>2557</v>
      </c>
      <c r="C304" s="12" t="s">
        <v>22</v>
      </c>
      <c r="D304" s="13" t="s">
        <v>2558</v>
      </c>
      <c r="E304" s="13" t="s">
        <v>2559</v>
      </c>
    </row>
    <row r="305" spans="1:5" ht="51" x14ac:dyDescent="0.2">
      <c r="A305" s="12" t="s">
        <v>1224</v>
      </c>
      <c r="B305" s="12" t="s">
        <v>2560</v>
      </c>
      <c r="C305" s="12" t="s">
        <v>22</v>
      </c>
      <c r="D305" s="13" t="s">
        <v>91</v>
      </c>
      <c r="E305" s="13" t="s">
        <v>2561</v>
      </c>
    </row>
    <row r="306" spans="1:5" ht="51" x14ac:dyDescent="0.2">
      <c r="A306" s="12" t="s">
        <v>1228</v>
      </c>
      <c r="B306" s="12" t="s">
        <v>2562</v>
      </c>
      <c r="C306" s="12" t="s">
        <v>22</v>
      </c>
      <c r="D306" s="13" t="s">
        <v>91</v>
      </c>
      <c r="E306" s="13" t="s">
        <v>2563</v>
      </c>
    </row>
    <row r="307" spans="1:5" ht="51" x14ac:dyDescent="0.2">
      <c r="A307" s="12" t="s">
        <v>1232</v>
      </c>
      <c r="B307" s="12" t="s">
        <v>2564</v>
      </c>
      <c r="C307" s="12" t="s">
        <v>22</v>
      </c>
      <c r="D307" s="13" t="s">
        <v>91</v>
      </c>
      <c r="E307" s="13" t="s">
        <v>2565</v>
      </c>
    </row>
    <row r="308" spans="1:5" ht="51" x14ac:dyDescent="0.2">
      <c r="A308" s="12" t="s">
        <v>1236</v>
      </c>
      <c r="B308" s="12" t="s">
        <v>2566</v>
      </c>
      <c r="C308" s="12" t="s">
        <v>22</v>
      </c>
      <c r="D308" s="13" t="s">
        <v>91</v>
      </c>
      <c r="E308" s="13" t="s">
        <v>2567</v>
      </c>
    </row>
    <row r="309" spans="1:5" ht="51" x14ac:dyDescent="0.2">
      <c r="A309" s="12" t="s">
        <v>1240</v>
      </c>
      <c r="B309" s="12" t="s">
        <v>2568</v>
      </c>
      <c r="C309" s="12" t="s">
        <v>22</v>
      </c>
      <c r="D309" s="13" t="s">
        <v>91</v>
      </c>
      <c r="E309" s="13" t="s">
        <v>2569</v>
      </c>
    </row>
    <row r="310" spans="1:5" ht="51" x14ac:dyDescent="0.2">
      <c r="A310" s="12" t="s">
        <v>1244</v>
      </c>
      <c r="B310" s="12" t="s">
        <v>2570</v>
      </c>
      <c r="C310" s="12" t="s">
        <v>22</v>
      </c>
      <c r="D310" s="13" t="s">
        <v>91</v>
      </c>
      <c r="E310" s="13" t="s">
        <v>2571</v>
      </c>
    </row>
    <row r="311" spans="1:5" ht="51" x14ac:dyDescent="0.2">
      <c r="A311" s="12" t="s">
        <v>1248</v>
      </c>
      <c r="B311" s="12" t="s">
        <v>2572</v>
      </c>
      <c r="C311" s="12" t="s">
        <v>22</v>
      </c>
      <c r="D311" s="13" t="s">
        <v>91</v>
      </c>
      <c r="E311" s="13" t="s">
        <v>2573</v>
      </c>
    </row>
    <row r="312" spans="1:5" ht="61.2" x14ac:dyDescent="0.2">
      <c r="A312" s="12" t="s">
        <v>1252</v>
      </c>
      <c r="B312" s="12" t="s">
        <v>2574</v>
      </c>
      <c r="C312" s="12" t="s">
        <v>22</v>
      </c>
      <c r="D312" s="13" t="s">
        <v>91</v>
      </c>
      <c r="E312" s="13" t="s">
        <v>2575</v>
      </c>
    </row>
    <row r="313" spans="1:5" ht="51" x14ac:dyDescent="0.2">
      <c r="A313" s="12" t="s">
        <v>1256</v>
      </c>
      <c r="B313" s="12" t="s">
        <v>2576</v>
      </c>
      <c r="C313" s="12" t="s">
        <v>22</v>
      </c>
      <c r="D313" s="13" t="s">
        <v>91</v>
      </c>
      <c r="E313" s="13" t="s">
        <v>2577</v>
      </c>
    </row>
    <row r="314" spans="1:5" ht="61.2" x14ac:dyDescent="0.2">
      <c r="A314" s="12" t="s">
        <v>1260</v>
      </c>
      <c r="B314" s="12" t="s">
        <v>2578</v>
      </c>
      <c r="C314" s="12" t="s">
        <v>22</v>
      </c>
      <c r="D314" s="13" t="s">
        <v>91</v>
      </c>
      <c r="E314" s="13" t="s">
        <v>2579</v>
      </c>
    </row>
    <row r="315" spans="1:5" ht="51" x14ac:dyDescent="0.2">
      <c r="A315" s="12" t="s">
        <v>1264</v>
      </c>
      <c r="B315" s="12" t="s">
        <v>2580</v>
      </c>
      <c r="C315" s="12" t="s">
        <v>22</v>
      </c>
      <c r="D315" s="13" t="s">
        <v>91</v>
      </c>
      <c r="E315" s="13" t="s">
        <v>2581</v>
      </c>
    </row>
    <row r="316" spans="1:5" ht="71.400000000000006" x14ac:dyDescent="0.2">
      <c r="A316" s="12" t="s">
        <v>1268</v>
      </c>
      <c r="B316" s="12" t="s">
        <v>2582</v>
      </c>
      <c r="C316" s="12" t="s">
        <v>22</v>
      </c>
      <c r="D316" s="13" t="s">
        <v>91</v>
      </c>
      <c r="E316" s="13" t="s">
        <v>2583</v>
      </c>
    </row>
    <row r="317" spans="1:5" ht="51" x14ac:dyDescent="0.2">
      <c r="A317" s="12" t="s">
        <v>1272</v>
      </c>
      <c r="B317" s="12" t="s">
        <v>2584</v>
      </c>
      <c r="C317" s="12" t="s">
        <v>22</v>
      </c>
      <c r="D317" s="13" t="s">
        <v>91</v>
      </c>
      <c r="E317" s="13" t="s">
        <v>2585</v>
      </c>
    </row>
    <row r="318" spans="1:5" ht="61.2" x14ac:dyDescent="0.2">
      <c r="A318" s="12" t="s">
        <v>1276</v>
      </c>
      <c r="B318" s="12" t="s">
        <v>2586</v>
      </c>
      <c r="C318" s="12" t="s">
        <v>22</v>
      </c>
      <c r="D318" s="13" t="s">
        <v>91</v>
      </c>
      <c r="E318" s="13" t="s">
        <v>2587</v>
      </c>
    </row>
    <row r="319" spans="1:5" ht="51" x14ac:dyDescent="0.2">
      <c r="A319" s="12" t="s">
        <v>1280</v>
      </c>
      <c r="B319" s="12" t="s">
        <v>2588</v>
      </c>
      <c r="C319" s="12" t="s">
        <v>22</v>
      </c>
      <c r="D319" s="13" t="s">
        <v>91</v>
      </c>
      <c r="E319" s="13" t="s">
        <v>2589</v>
      </c>
    </row>
    <row r="320" spans="1:5" ht="61.2" x14ac:dyDescent="0.2">
      <c r="A320" s="12" t="s">
        <v>1284</v>
      </c>
      <c r="B320" s="12" t="s">
        <v>2590</v>
      </c>
      <c r="C320" s="12" t="s">
        <v>22</v>
      </c>
      <c r="D320" s="13" t="s">
        <v>91</v>
      </c>
      <c r="E320" s="13" t="s">
        <v>2591</v>
      </c>
    </row>
    <row r="321" spans="1:5" ht="51" x14ac:dyDescent="0.2">
      <c r="A321" s="12" t="s">
        <v>1288</v>
      </c>
      <c r="B321" s="12" t="s">
        <v>2592</v>
      </c>
      <c r="C321" s="12" t="s">
        <v>22</v>
      </c>
      <c r="D321" s="13" t="s">
        <v>91</v>
      </c>
      <c r="E321" s="13" t="s">
        <v>2593</v>
      </c>
    </row>
    <row r="322" spans="1:5" ht="51" x14ac:dyDescent="0.2">
      <c r="A322" s="12" t="s">
        <v>1292</v>
      </c>
      <c r="B322" s="12" t="s">
        <v>2594</v>
      </c>
      <c r="C322" s="12" t="s">
        <v>22</v>
      </c>
      <c r="D322" s="13" t="s">
        <v>91</v>
      </c>
      <c r="E322" s="13" t="s">
        <v>2595</v>
      </c>
    </row>
    <row r="323" spans="1:5" ht="51" x14ac:dyDescent="0.2">
      <c r="A323" s="12" t="s">
        <v>1296</v>
      </c>
      <c r="B323" s="12" t="s">
        <v>2596</v>
      </c>
      <c r="C323" s="12" t="s">
        <v>22</v>
      </c>
      <c r="D323" s="13" t="s">
        <v>91</v>
      </c>
      <c r="E323" s="13" t="s">
        <v>2597</v>
      </c>
    </row>
    <row r="324" spans="1:5" ht="51" x14ac:dyDescent="0.2">
      <c r="A324" s="12" t="s">
        <v>1300</v>
      </c>
      <c r="B324" s="12" t="s">
        <v>2598</v>
      </c>
      <c r="C324" s="12" t="s">
        <v>22</v>
      </c>
      <c r="D324" s="13" t="s">
        <v>91</v>
      </c>
      <c r="E324" s="13" t="s">
        <v>2599</v>
      </c>
    </row>
    <row r="325" spans="1:5" ht="61.2" x14ac:dyDescent="0.2">
      <c r="A325" s="12" t="s">
        <v>1304</v>
      </c>
      <c r="B325" s="12" t="s">
        <v>2600</v>
      </c>
      <c r="C325" s="12" t="s">
        <v>22</v>
      </c>
      <c r="D325" s="13" t="s">
        <v>91</v>
      </c>
      <c r="E325" s="13" t="s">
        <v>2601</v>
      </c>
    </row>
    <row r="326" spans="1:5" ht="61.2" x14ac:dyDescent="0.2">
      <c r="A326" s="12" t="s">
        <v>1308</v>
      </c>
      <c r="B326" s="12" t="s">
        <v>2602</v>
      </c>
      <c r="C326" s="12" t="s">
        <v>22</v>
      </c>
      <c r="D326" s="13" t="s">
        <v>91</v>
      </c>
      <c r="E326" s="13" t="s">
        <v>2603</v>
      </c>
    </row>
    <row r="327" spans="1:5" ht="61.2" x14ac:dyDescent="0.2">
      <c r="A327" s="12" t="s">
        <v>1312</v>
      </c>
      <c r="B327" s="12" t="s">
        <v>2604</v>
      </c>
      <c r="C327" s="12" t="s">
        <v>22</v>
      </c>
      <c r="D327" s="13" t="s">
        <v>91</v>
      </c>
      <c r="E327" s="13" t="s">
        <v>2605</v>
      </c>
    </row>
    <row r="328" spans="1:5" ht="51" x14ac:dyDescent="0.2">
      <c r="A328" s="12" t="s">
        <v>1316</v>
      </c>
      <c r="B328" s="12" t="s">
        <v>2606</v>
      </c>
      <c r="C328" s="12" t="s">
        <v>22</v>
      </c>
      <c r="D328" s="13" t="s">
        <v>91</v>
      </c>
      <c r="E328" s="13" t="s">
        <v>2607</v>
      </c>
    </row>
    <row r="329" spans="1:5" ht="51" x14ac:dyDescent="0.2">
      <c r="A329" s="12" t="s">
        <v>1320</v>
      </c>
      <c r="B329" s="12" t="s">
        <v>2608</v>
      </c>
      <c r="C329" s="12" t="s">
        <v>22</v>
      </c>
      <c r="D329" s="13" t="s">
        <v>91</v>
      </c>
      <c r="E329" s="13" t="s">
        <v>2609</v>
      </c>
    </row>
    <row r="330" spans="1:5" ht="51" x14ac:dyDescent="0.2">
      <c r="A330" s="12" t="s">
        <v>1324</v>
      </c>
      <c r="B330" s="12" t="s">
        <v>2610</v>
      </c>
      <c r="C330" s="12" t="s">
        <v>22</v>
      </c>
      <c r="D330" s="13" t="s">
        <v>91</v>
      </c>
      <c r="E330" s="13" t="s">
        <v>2611</v>
      </c>
    </row>
    <row r="331" spans="1:5" ht="51" x14ac:dyDescent="0.2">
      <c r="A331" s="12" t="s">
        <v>1328</v>
      </c>
      <c r="B331" s="12" t="s">
        <v>2612</v>
      </c>
      <c r="C331" s="12" t="s">
        <v>22</v>
      </c>
      <c r="D331" s="13" t="s">
        <v>91</v>
      </c>
      <c r="E331" s="13" t="s">
        <v>2613</v>
      </c>
    </row>
    <row r="332" spans="1:5" ht="51" x14ac:dyDescent="0.2">
      <c r="A332" s="12" t="s">
        <v>1336</v>
      </c>
      <c r="B332" s="12" t="s">
        <v>2614</v>
      </c>
      <c r="C332" s="12" t="s">
        <v>22</v>
      </c>
      <c r="D332" s="13" t="s">
        <v>91</v>
      </c>
      <c r="E332" s="13" t="s">
        <v>2615</v>
      </c>
    </row>
    <row r="333" spans="1:5" ht="51" x14ac:dyDescent="0.2">
      <c r="A333" s="12" t="s">
        <v>1340</v>
      </c>
      <c r="B333" s="12" t="s">
        <v>2616</v>
      </c>
      <c r="C333" s="12" t="s">
        <v>22</v>
      </c>
      <c r="D333" s="13" t="s">
        <v>91</v>
      </c>
      <c r="E333" s="13" t="s">
        <v>2617</v>
      </c>
    </row>
    <row r="334" spans="1:5" ht="51" x14ac:dyDescent="0.2">
      <c r="A334" s="12" t="s">
        <v>1344</v>
      </c>
      <c r="B334" s="12" t="s">
        <v>2618</v>
      </c>
      <c r="C334" s="12" t="s">
        <v>22</v>
      </c>
      <c r="D334" s="13" t="s">
        <v>91</v>
      </c>
      <c r="E334" s="13" t="s">
        <v>2619</v>
      </c>
    </row>
    <row r="335" spans="1:5" ht="51" x14ac:dyDescent="0.2">
      <c r="A335" s="12" t="s">
        <v>1348</v>
      </c>
      <c r="B335" s="12" t="s">
        <v>2620</v>
      </c>
      <c r="C335" s="12" t="s">
        <v>22</v>
      </c>
      <c r="D335" s="13" t="s">
        <v>91</v>
      </c>
      <c r="E335" s="13" t="s">
        <v>2621</v>
      </c>
    </row>
    <row r="336" spans="1:5" ht="61.2" x14ac:dyDescent="0.2">
      <c r="A336" s="12" t="s">
        <v>1352</v>
      </c>
      <c r="B336" s="12" t="s">
        <v>2622</v>
      </c>
      <c r="C336" s="12" t="s">
        <v>22</v>
      </c>
      <c r="D336" s="13" t="s">
        <v>91</v>
      </c>
      <c r="E336" s="13" t="s">
        <v>2623</v>
      </c>
    </row>
    <row r="337" spans="1:5" ht="51" x14ac:dyDescent="0.2">
      <c r="A337" s="12" t="s">
        <v>1356</v>
      </c>
      <c r="B337" s="12" t="s">
        <v>2624</v>
      </c>
      <c r="C337" s="12" t="s">
        <v>22</v>
      </c>
      <c r="D337" s="13" t="s">
        <v>91</v>
      </c>
      <c r="E337" s="13" t="s">
        <v>2625</v>
      </c>
    </row>
    <row r="338" spans="1:5" ht="61.2" x14ac:dyDescent="0.2">
      <c r="A338" s="12" t="s">
        <v>1360</v>
      </c>
      <c r="B338" s="12" t="s">
        <v>2626</v>
      </c>
      <c r="C338" s="12" t="s">
        <v>22</v>
      </c>
      <c r="D338" s="13" t="s">
        <v>91</v>
      </c>
      <c r="E338" s="13" t="s">
        <v>2627</v>
      </c>
    </row>
    <row r="339" spans="1:5" ht="51" x14ac:dyDescent="0.2">
      <c r="A339" s="12" t="s">
        <v>1364</v>
      </c>
      <c r="B339" s="12" t="s">
        <v>2628</v>
      </c>
      <c r="C339" s="12" t="s">
        <v>22</v>
      </c>
      <c r="D339" s="13" t="s">
        <v>91</v>
      </c>
      <c r="E339" s="13" t="s">
        <v>2629</v>
      </c>
    </row>
    <row r="340" spans="1:5" ht="51" x14ac:dyDescent="0.2">
      <c r="A340" s="12" t="s">
        <v>1368</v>
      </c>
      <c r="B340" s="12" t="s">
        <v>2630</v>
      </c>
      <c r="C340" s="12" t="s">
        <v>22</v>
      </c>
      <c r="D340" s="13" t="s">
        <v>91</v>
      </c>
      <c r="E340" s="13" t="s">
        <v>2631</v>
      </c>
    </row>
    <row r="341" spans="1:5" ht="51" x14ac:dyDescent="0.2">
      <c r="A341" s="12" t="s">
        <v>1372</v>
      </c>
      <c r="B341" s="12" t="s">
        <v>2632</v>
      </c>
      <c r="C341" s="12" t="s">
        <v>22</v>
      </c>
      <c r="D341" s="13" t="s">
        <v>91</v>
      </c>
      <c r="E341" s="13" t="s">
        <v>2633</v>
      </c>
    </row>
    <row r="342" spans="1:5" ht="51" x14ac:dyDescent="0.2">
      <c r="A342" s="12" t="s">
        <v>1376</v>
      </c>
      <c r="B342" s="12" t="s">
        <v>2634</v>
      </c>
      <c r="C342" s="12" t="s">
        <v>22</v>
      </c>
      <c r="D342" s="13" t="s">
        <v>91</v>
      </c>
      <c r="E342" s="13" t="s">
        <v>2635</v>
      </c>
    </row>
    <row r="343" spans="1:5" ht="61.2" x14ac:dyDescent="0.2">
      <c r="A343" s="12" t="s">
        <v>1380</v>
      </c>
      <c r="B343" s="12" t="s">
        <v>2636</v>
      </c>
      <c r="C343" s="12" t="s">
        <v>22</v>
      </c>
      <c r="D343" s="13" t="s">
        <v>91</v>
      </c>
      <c r="E343" s="13" t="s">
        <v>2637</v>
      </c>
    </row>
    <row r="344" spans="1:5" ht="51" x14ac:dyDescent="0.2">
      <c r="A344" s="12" t="s">
        <v>1384</v>
      </c>
      <c r="B344" s="12" t="s">
        <v>2638</v>
      </c>
      <c r="C344" s="12" t="s">
        <v>22</v>
      </c>
      <c r="D344" s="13" t="s">
        <v>91</v>
      </c>
      <c r="E344" s="13" t="s">
        <v>2639</v>
      </c>
    </row>
    <row r="345" spans="1:5" ht="61.2" x14ac:dyDescent="0.2">
      <c r="A345" s="12" t="s">
        <v>1388</v>
      </c>
      <c r="B345" s="12" t="s">
        <v>2640</v>
      </c>
      <c r="C345" s="12" t="s">
        <v>22</v>
      </c>
      <c r="D345" s="13" t="s">
        <v>91</v>
      </c>
      <c r="E345" s="13" t="s">
        <v>2641</v>
      </c>
    </row>
    <row r="346" spans="1:5" ht="51" x14ac:dyDescent="0.2">
      <c r="A346" s="12" t="s">
        <v>1392</v>
      </c>
      <c r="B346" s="12" t="s">
        <v>2642</v>
      </c>
      <c r="C346" s="12" t="s">
        <v>22</v>
      </c>
      <c r="D346" s="13" t="s">
        <v>91</v>
      </c>
      <c r="E346" s="13" t="s">
        <v>2643</v>
      </c>
    </row>
    <row r="347" spans="1:5" ht="81.599999999999994" x14ac:dyDescent="0.2">
      <c r="A347" s="12" t="s">
        <v>1396</v>
      </c>
      <c r="B347" s="12" t="s">
        <v>2644</v>
      </c>
      <c r="C347" s="12" t="s">
        <v>22</v>
      </c>
      <c r="D347" s="13" t="s">
        <v>91</v>
      </c>
      <c r="E347" s="13" t="s">
        <v>2645</v>
      </c>
    </row>
    <row r="348" spans="1:5" ht="61.2" x14ac:dyDescent="0.2">
      <c r="A348" s="12" t="s">
        <v>1400</v>
      </c>
      <c r="B348" s="12" t="s">
        <v>2646</v>
      </c>
      <c r="C348" s="12" t="s">
        <v>22</v>
      </c>
      <c r="D348" s="13" t="s">
        <v>91</v>
      </c>
      <c r="E348" s="13" t="s">
        <v>2647</v>
      </c>
    </row>
    <row r="349" spans="1:5" ht="61.2" x14ac:dyDescent="0.2">
      <c r="A349" s="12" t="s">
        <v>1404</v>
      </c>
      <c r="B349" s="12" t="s">
        <v>2648</v>
      </c>
      <c r="C349" s="12" t="s">
        <v>22</v>
      </c>
      <c r="D349" s="13" t="s">
        <v>91</v>
      </c>
      <c r="E349" s="13" t="s">
        <v>2649</v>
      </c>
    </row>
    <row r="350" spans="1:5" ht="51" x14ac:dyDescent="0.2">
      <c r="A350" s="12" t="s">
        <v>1408</v>
      </c>
      <c r="B350" s="12" t="s">
        <v>2650</v>
      </c>
      <c r="C350" s="12" t="s">
        <v>22</v>
      </c>
      <c r="D350" s="13" t="s">
        <v>91</v>
      </c>
      <c r="E350" s="13" t="s">
        <v>2651</v>
      </c>
    </row>
    <row r="351" spans="1:5" ht="51" x14ac:dyDescent="0.2">
      <c r="A351" s="12" t="s">
        <v>1412</v>
      </c>
      <c r="B351" s="12" t="s">
        <v>2652</v>
      </c>
      <c r="C351" s="12" t="s">
        <v>22</v>
      </c>
      <c r="D351" s="13" t="s">
        <v>91</v>
      </c>
      <c r="E351" s="13" t="s">
        <v>2653</v>
      </c>
    </row>
    <row r="352" spans="1:5" ht="51" x14ac:dyDescent="0.2">
      <c r="A352" s="12" t="s">
        <v>1416</v>
      </c>
      <c r="B352" s="12" t="s">
        <v>2654</v>
      </c>
      <c r="C352" s="12" t="s">
        <v>22</v>
      </c>
      <c r="D352" s="13" t="s">
        <v>91</v>
      </c>
      <c r="E352" s="13" t="s">
        <v>2655</v>
      </c>
    </row>
    <row r="353" spans="1:5" ht="51" x14ac:dyDescent="0.2">
      <c r="A353" s="12" t="s">
        <v>1420</v>
      </c>
      <c r="B353" s="12" t="s">
        <v>2656</v>
      </c>
      <c r="C353" s="12" t="s">
        <v>22</v>
      </c>
      <c r="D353" s="13" t="s">
        <v>91</v>
      </c>
      <c r="E353" s="13" t="s">
        <v>2657</v>
      </c>
    </row>
    <row r="354" spans="1:5" ht="51" x14ac:dyDescent="0.2">
      <c r="A354" s="12" t="s">
        <v>1424</v>
      </c>
      <c r="B354" s="12" t="s">
        <v>2658</v>
      </c>
      <c r="C354" s="12" t="s">
        <v>22</v>
      </c>
      <c r="D354" s="13" t="s">
        <v>91</v>
      </c>
      <c r="E354" s="13" t="s">
        <v>2659</v>
      </c>
    </row>
    <row r="355" spans="1:5" ht="61.2" x14ac:dyDescent="0.2">
      <c r="A355" s="12" t="s">
        <v>1428</v>
      </c>
      <c r="B355" s="12" t="s">
        <v>2660</v>
      </c>
      <c r="C355" s="12" t="s">
        <v>22</v>
      </c>
      <c r="D355" s="13" t="s">
        <v>91</v>
      </c>
      <c r="E355" s="13" t="s">
        <v>2661</v>
      </c>
    </row>
    <row r="356" spans="1:5" ht="61.2" x14ac:dyDescent="0.2">
      <c r="A356" s="12" t="s">
        <v>1432</v>
      </c>
      <c r="B356" s="12" t="s">
        <v>2662</v>
      </c>
      <c r="C356" s="12" t="s">
        <v>22</v>
      </c>
      <c r="D356" s="13" t="s">
        <v>91</v>
      </c>
      <c r="E356" s="13" t="s">
        <v>2663</v>
      </c>
    </row>
    <row r="357" spans="1:5" ht="51" x14ac:dyDescent="0.2">
      <c r="A357" s="12" t="s">
        <v>1436</v>
      </c>
      <c r="B357" s="12" t="s">
        <v>2664</v>
      </c>
      <c r="C357" s="12" t="s">
        <v>22</v>
      </c>
      <c r="D357" s="13" t="s">
        <v>91</v>
      </c>
      <c r="E357" s="13" t="s">
        <v>2665</v>
      </c>
    </row>
    <row r="358" spans="1:5" ht="51" x14ac:dyDescent="0.2">
      <c r="A358" s="12" t="s">
        <v>1440</v>
      </c>
      <c r="B358" s="12" t="s">
        <v>2666</v>
      </c>
      <c r="C358" s="12" t="s">
        <v>22</v>
      </c>
      <c r="D358" s="13" t="s">
        <v>91</v>
      </c>
      <c r="E358" s="13" t="s">
        <v>2667</v>
      </c>
    </row>
    <row r="359" spans="1:5" ht="51" x14ac:dyDescent="0.2">
      <c r="A359" s="12" t="s">
        <v>1444</v>
      </c>
      <c r="B359" s="12" t="s">
        <v>2668</v>
      </c>
      <c r="C359" s="12" t="s">
        <v>22</v>
      </c>
      <c r="D359" s="13" t="s">
        <v>91</v>
      </c>
      <c r="E359" s="13" t="s">
        <v>2669</v>
      </c>
    </row>
    <row r="360" spans="1:5" ht="51" x14ac:dyDescent="0.2">
      <c r="A360" s="12" t="s">
        <v>1448</v>
      </c>
      <c r="B360" s="12" t="s">
        <v>2670</v>
      </c>
      <c r="C360" s="12" t="s">
        <v>22</v>
      </c>
      <c r="D360" s="13" t="s">
        <v>91</v>
      </c>
      <c r="E360" s="13" t="s">
        <v>2671</v>
      </c>
    </row>
    <row r="361" spans="1:5" ht="51" x14ac:dyDescent="0.2">
      <c r="A361" s="12" t="s">
        <v>1452</v>
      </c>
      <c r="B361" s="12" t="s">
        <v>2672</v>
      </c>
      <c r="C361" s="12" t="s">
        <v>22</v>
      </c>
      <c r="D361" s="13" t="s">
        <v>91</v>
      </c>
      <c r="E361" s="13" t="s">
        <v>2673</v>
      </c>
    </row>
    <row r="362" spans="1:5" ht="51" x14ac:dyDescent="0.2">
      <c r="A362" s="12" t="s">
        <v>1456</v>
      </c>
      <c r="B362" s="12" t="s">
        <v>2674</v>
      </c>
      <c r="C362" s="12" t="s">
        <v>22</v>
      </c>
      <c r="D362" s="13" t="s">
        <v>91</v>
      </c>
      <c r="E362" s="13" t="s">
        <v>2675</v>
      </c>
    </row>
    <row r="363" spans="1:5" ht="51" x14ac:dyDescent="0.2">
      <c r="A363" s="12" t="s">
        <v>1460</v>
      </c>
      <c r="B363" s="12" t="s">
        <v>2676</v>
      </c>
      <c r="C363" s="12" t="s">
        <v>22</v>
      </c>
      <c r="D363" s="13" t="s">
        <v>91</v>
      </c>
      <c r="E363" s="13" t="s">
        <v>2677</v>
      </c>
    </row>
    <row r="364" spans="1:5" ht="51" x14ac:dyDescent="0.2">
      <c r="A364" s="12" t="s">
        <v>1464</v>
      </c>
      <c r="B364" s="12" t="s">
        <v>2678</v>
      </c>
      <c r="C364" s="12" t="s">
        <v>22</v>
      </c>
      <c r="D364" s="13" t="s">
        <v>91</v>
      </c>
      <c r="E364" s="13" t="s">
        <v>2679</v>
      </c>
    </row>
    <row r="365" spans="1:5" ht="51" x14ac:dyDescent="0.2">
      <c r="A365" s="12" t="s">
        <v>1468</v>
      </c>
      <c r="B365" s="12" t="s">
        <v>2680</v>
      </c>
      <c r="C365" s="12" t="s">
        <v>22</v>
      </c>
      <c r="D365" s="13" t="s">
        <v>91</v>
      </c>
      <c r="E365" s="13" t="s">
        <v>2681</v>
      </c>
    </row>
    <row r="366" spans="1:5" ht="51" x14ac:dyDescent="0.2">
      <c r="A366" s="12" t="s">
        <v>1472</v>
      </c>
      <c r="B366" s="12" t="s">
        <v>2682</v>
      </c>
      <c r="C366" s="12" t="s">
        <v>22</v>
      </c>
      <c r="D366" s="13" t="s">
        <v>91</v>
      </c>
      <c r="E366" s="13" t="s">
        <v>2683</v>
      </c>
    </row>
    <row r="367" spans="1:5" ht="51" x14ac:dyDescent="0.2">
      <c r="A367" s="12" t="s">
        <v>1476</v>
      </c>
      <c r="B367" s="12" t="s">
        <v>2684</v>
      </c>
      <c r="C367" s="12" t="s">
        <v>22</v>
      </c>
      <c r="D367" s="13" t="s">
        <v>91</v>
      </c>
      <c r="E367" s="13" t="s">
        <v>2685</v>
      </c>
    </row>
    <row r="368" spans="1:5" ht="51" x14ac:dyDescent="0.2">
      <c r="A368" s="12" t="s">
        <v>1480</v>
      </c>
      <c r="B368" s="12" t="s">
        <v>2686</v>
      </c>
      <c r="C368" s="12" t="s">
        <v>22</v>
      </c>
      <c r="D368" s="13" t="s">
        <v>91</v>
      </c>
      <c r="E368" s="13" t="s">
        <v>2687</v>
      </c>
    </row>
    <row r="369" spans="1:5" ht="51" x14ac:dyDescent="0.2">
      <c r="A369" s="12" t="s">
        <v>1484</v>
      </c>
      <c r="B369" s="12" t="s">
        <v>2688</v>
      </c>
      <c r="C369" s="12" t="s">
        <v>22</v>
      </c>
      <c r="D369" s="13" t="s">
        <v>91</v>
      </c>
      <c r="E369" s="13" t="s">
        <v>2689</v>
      </c>
    </row>
    <row r="370" spans="1:5" ht="81.599999999999994" x14ac:dyDescent="0.2">
      <c r="A370" s="12" t="s">
        <v>1488</v>
      </c>
      <c r="B370" s="12" t="s">
        <v>2690</v>
      </c>
      <c r="C370" s="12" t="s">
        <v>22</v>
      </c>
      <c r="D370" s="13" t="s">
        <v>91</v>
      </c>
      <c r="E370" s="13" t="s">
        <v>2691</v>
      </c>
    </row>
    <row r="371" spans="1:5" ht="51" x14ac:dyDescent="0.2">
      <c r="A371" s="12" t="s">
        <v>1492</v>
      </c>
      <c r="B371" s="12" t="s">
        <v>2692</v>
      </c>
      <c r="C371" s="12" t="s">
        <v>22</v>
      </c>
      <c r="D371" s="13" t="s">
        <v>91</v>
      </c>
      <c r="E371" s="13" t="s">
        <v>2693</v>
      </c>
    </row>
    <row r="372" spans="1:5" ht="61.2" x14ac:dyDescent="0.2">
      <c r="A372" s="12" t="s">
        <v>1496</v>
      </c>
      <c r="B372" s="12" t="s">
        <v>2694</v>
      </c>
      <c r="C372" s="12" t="s">
        <v>22</v>
      </c>
      <c r="D372" s="13" t="s">
        <v>91</v>
      </c>
      <c r="E372" s="13" t="s">
        <v>2695</v>
      </c>
    </row>
    <row r="373" spans="1:5" ht="51" x14ac:dyDescent="0.2">
      <c r="A373" s="12" t="s">
        <v>1500</v>
      </c>
      <c r="B373" s="12" t="s">
        <v>2696</v>
      </c>
      <c r="C373" s="12" t="s">
        <v>22</v>
      </c>
      <c r="D373" s="13" t="s">
        <v>91</v>
      </c>
      <c r="E373" s="13" t="s">
        <v>2697</v>
      </c>
    </row>
    <row r="374" spans="1:5" ht="51" x14ac:dyDescent="0.2">
      <c r="A374" s="12" t="s">
        <v>1504</v>
      </c>
      <c r="B374" s="12" t="s">
        <v>2698</v>
      </c>
      <c r="C374" s="12" t="s">
        <v>22</v>
      </c>
      <c r="D374" s="13" t="s">
        <v>91</v>
      </c>
      <c r="E374" s="13" t="s">
        <v>2699</v>
      </c>
    </row>
    <row r="375" spans="1:5" ht="61.2" x14ac:dyDescent="0.2">
      <c r="A375" s="12" t="s">
        <v>1508</v>
      </c>
      <c r="B375" s="12" t="s">
        <v>2700</v>
      </c>
      <c r="C375" s="12" t="s">
        <v>22</v>
      </c>
      <c r="D375" s="13" t="s">
        <v>91</v>
      </c>
      <c r="E375" s="13" t="s">
        <v>2701</v>
      </c>
    </row>
    <row r="376" spans="1:5" ht="51" x14ac:dyDescent="0.2">
      <c r="A376" s="12" t="s">
        <v>1512</v>
      </c>
      <c r="B376" s="12" t="s">
        <v>2702</v>
      </c>
      <c r="C376" s="12" t="s">
        <v>22</v>
      </c>
      <c r="D376" s="13" t="s">
        <v>91</v>
      </c>
      <c r="E376" s="13" t="s">
        <v>2703</v>
      </c>
    </row>
    <row r="377" spans="1:5" ht="61.2" x14ac:dyDescent="0.2">
      <c r="A377" s="12" t="s">
        <v>1516</v>
      </c>
      <c r="B377" s="12" t="s">
        <v>2704</v>
      </c>
      <c r="C377" s="12" t="s">
        <v>22</v>
      </c>
      <c r="D377" s="13" t="s">
        <v>91</v>
      </c>
      <c r="E377" s="13" t="s">
        <v>2705</v>
      </c>
    </row>
    <row r="378" spans="1:5" ht="51" x14ac:dyDescent="0.2">
      <c r="A378" s="12" t="s">
        <v>1520</v>
      </c>
      <c r="B378" s="12" t="s">
        <v>2706</v>
      </c>
      <c r="C378" s="12" t="s">
        <v>22</v>
      </c>
      <c r="D378" s="13" t="s">
        <v>91</v>
      </c>
      <c r="E378" s="13" t="s">
        <v>2707</v>
      </c>
    </row>
    <row r="379" spans="1:5" ht="40.799999999999997" x14ac:dyDescent="0.2">
      <c r="A379" s="12" t="s">
        <v>1524</v>
      </c>
      <c r="B379" s="12" t="s">
        <v>2708</v>
      </c>
      <c r="C379" s="12" t="s">
        <v>22</v>
      </c>
      <c r="D379" s="13" t="s">
        <v>91</v>
      </c>
      <c r="E379" s="13" t="s">
        <v>2709</v>
      </c>
    </row>
    <row r="380" spans="1:5" ht="51" x14ac:dyDescent="0.2">
      <c r="A380" s="12" t="s">
        <v>1528</v>
      </c>
      <c r="B380" s="12" t="s">
        <v>2710</v>
      </c>
      <c r="C380" s="12" t="s">
        <v>22</v>
      </c>
      <c r="D380" s="13" t="s">
        <v>91</v>
      </c>
      <c r="E380" s="13" t="s">
        <v>2711</v>
      </c>
    </row>
    <row r="381" spans="1:5" ht="51" x14ac:dyDescent="0.2">
      <c r="A381" s="12" t="s">
        <v>1532</v>
      </c>
      <c r="B381" s="12" t="s">
        <v>2712</v>
      </c>
      <c r="C381" s="12" t="s">
        <v>22</v>
      </c>
      <c r="D381" s="13" t="s">
        <v>91</v>
      </c>
      <c r="E381" s="13" t="s">
        <v>2713</v>
      </c>
    </row>
    <row r="382" spans="1:5" ht="51" x14ac:dyDescent="0.2">
      <c r="A382" s="12" t="s">
        <v>1536</v>
      </c>
      <c r="B382" s="12" t="s">
        <v>2714</v>
      </c>
      <c r="C382" s="12" t="s">
        <v>22</v>
      </c>
      <c r="D382" s="13" t="s">
        <v>91</v>
      </c>
      <c r="E382" s="13" t="s">
        <v>2715</v>
      </c>
    </row>
    <row r="383" spans="1:5" ht="51" x14ac:dyDescent="0.2">
      <c r="A383" s="12" t="s">
        <v>1540</v>
      </c>
      <c r="B383" s="12" t="s">
        <v>2716</v>
      </c>
      <c r="C383" s="12" t="s">
        <v>22</v>
      </c>
      <c r="D383" s="13" t="s">
        <v>91</v>
      </c>
      <c r="E383" s="13" t="s">
        <v>2717</v>
      </c>
    </row>
    <row r="384" spans="1:5" ht="51" x14ac:dyDescent="0.2">
      <c r="A384" s="12" t="s">
        <v>1544</v>
      </c>
      <c r="B384" s="12" t="s">
        <v>2718</v>
      </c>
      <c r="C384" s="12" t="s">
        <v>22</v>
      </c>
      <c r="D384" s="13" t="s">
        <v>91</v>
      </c>
      <c r="E384" s="13" t="s">
        <v>2719</v>
      </c>
    </row>
    <row r="385" spans="1:5" ht="51" x14ac:dyDescent="0.2">
      <c r="A385" s="12" t="s">
        <v>1548</v>
      </c>
      <c r="B385" s="12" t="s">
        <v>2720</v>
      </c>
      <c r="C385" s="12" t="s">
        <v>22</v>
      </c>
      <c r="D385" s="13" t="s">
        <v>91</v>
      </c>
      <c r="E385" s="13" t="s">
        <v>2721</v>
      </c>
    </row>
    <row r="386" spans="1:5" ht="61.2" x14ac:dyDescent="0.2">
      <c r="A386" s="12" t="s">
        <v>1552</v>
      </c>
      <c r="B386" s="12" t="s">
        <v>2722</v>
      </c>
      <c r="C386" s="12" t="s">
        <v>22</v>
      </c>
      <c r="D386" s="13" t="s">
        <v>91</v>
      </c>
      <c r="E386" s="13" t="s">
        <v>2723</v>
      </c>
    </row>
    <row r="387" spans="1:5" ht="61.2" x14ac:dyDescent="0.2">
      <c r="A387" s="12" t="s">
        <v>1556</v>
      </c>
      <c r="B387" s="12" t="s">
        <v>2724</v>
      </c>
      <c r="C387" s="12" t="s">
        <v>22</v>
      </c>
      <c r="D387" s="13" t="s">
        <v>91</v>
      </c>
      <c r="E387" s="13" t="s">
        <v>2725</v>
      </c>
    </row>
    <row r="388" spans="1:5" ht="51" x14ac:dyDescent="0.2">
      <c r="A388" s="12" t="s">
        <v>1560</v>
      </c>
      <c r="B388" s="12" t="s">
        <v>2726</v>
      </c>
      <c r="C388" s="12" t="s">
        <v>22</v>
      </c>
      <c r="D388" s="13" t="s">
        <v>91</v>
      </c>
      <c r="E388" s="13" t="s">
        <v>2727</v>
      </c>
    </row>
    <row r="389" spans="1:5" ht="61.2" x14ac:dyDescent="0.2">
      <c r="A389" s="12" t="s">
        <v>1564</v>
      </c>
      <c r="B389" s="12" t="s">
        <v>2728</v>
      </c>
      <c r="C389" s="12" t="s">
        <v>22</v>
      </c>
      <c r="D389" s="13" t="s">
        <v>91</v>
      </c>
      <c r="E389" s="13" t="s">
        <v>2729</v>
      </c>
    </row>
    <row r="390" spans="1:5" ht="51" x14ac:dyDescent="0.2">
      <c r="A390" s="12" t="s">
        <v>1568</v>
      </c>
      <c r="B390" s="12" t="s">
        <v>2730</v>
      </c>
      <c r="C390" s="12" t="s">
        <v>22</v>
      </c>
      <c r="D390" s="13" t="s">
        <v>91</v>
      </c>
      <c r="E390" s="13" t="s">
        <v>2731</v>
      </c>
    </row>
    <row r="391" spans="1:5" ht="51" x14ac:dyDescent="0.2">
      <c r="A391" s="12" t="s">
        <v>1572</v>
      </c>
      <c r="B391" s="12" t="s">
        <v>2732</v>
      </c>
      <c r="C391" s="12" t="s">
        <v>22</v>
      </c>
      <c r="D391" s="13" t="s">
        <v>91</v>
      </c>
      <c r="E391" s="13" t="s">
        <v>2733</v>
      </c>
    </row>
    <row r="392" spans="1:5" ht="61.2" x14ac:dyDescent="0.2">
      <c r="A392" s="12" t="s">
        <v>1576</v>
      </c>
      <c r="B392" s="12" t="s">
        <v>2734</v>
      </c>
      <c r="C392" s="12" t="s">
        <v>22</v>
      </c>
      <c r="D392" s="13" t="s">
        <v>91</v>
      </c>
      <c r="E392" s="13" t="s">
        <v>2735</v>
      </c>
    </row>
    <row r="393" spans="1:5" ht="51" x14ac:dyDescent="0.2">
      <c r="A393" s="12" t="s">
        <v>1580</v>
      </c>
      <c r="B393" s="12" t="s">
        <v>2736</v>
      </c>
      <c r="C393" s="12" t="s">
        <v>22</v>
      </c>
      <c r="D393" s="13" t="s">
        <v>91</v>
      </c>
      <c r="E393" s="13" t="s">
        <v>2737</v>
      </c>
    </row>
    <row r="394" spans="1:5" ht="51" x14ac:dyDescent="0.2">
      <c r="A394" s="12" t="s">
        <v>1584</v>
      </c>
      <c r="B394" s="12" t="s">
        <v>2738</v>
      </c>
      <c r="C394" s="12" t="s">
        <v>22</v>
      </c>
      <c r="D394" s="13" t="s">
        <v>91</v>
      </c>
      <c r="E394" s="13" t="s">
        <v>2739</v>
      </c>
    </row>
    <row r="395" spans="1:5" ht="71.400000000000006" x14ac:dyDescent="0.2">
      <c r="A395" s="12" t="s">
        <v>1588</v>
      </c>
      <c r="B395" s="12" t="s">
        <v>2740</v>
      </c>
      <c r="C395" s="12" t="s">
        <v>22</v>
      </c>
      <c r="D395" s="13" t="s">
        <v>91</v>
      </c>
      <c r="E395" s="13" t="s">
        <v>2741</v>
      </c>
    </row>
    <row r="396" spans="1:5" ht="51" x14ac:dyDescent="0.2">
      <c r="A396" s="12" t="s">
        <v>1592</v>
      </c>
      <c r="B396" s="12" t="s">
        <v>2742</v>
      </c>
      <c r="C396" s="12" t="s">
        <v>22</v>
      </c>
      <c r="D396" s="13" t="s">
        <v>91</v>
      </c>
      <c r="E396" s="13" t="s">
        <v>2743</v>
      </c>
    </row>
    <row r="397" spans="1:5" ht="51" x14ac:dyDescent="0.2">
      <c r="A397" s="12" t="s">
        <v>1596</v>
      </c>
      <c r="B397" s="12" t="s">
        <v>2744</v>
      </c>
      <c r="C397" s="12" t="s">
        <v>22</v>
      </c>
      <c r="D397" s="13" t="s">
        <v>91</v>
      </c>
      <c r="E397" s="13" t="s">
        <v>2745</v>
      </c>
    </row>
    <row r="398" spans="1:5" ht="51" x14ac:dyDescent="0.2">
      <c r="A398" s="12" t="s">
        <v>1600</v>
      </c>
      <c r="B398" s="12" t="s">
        <v>2746</v>
      </c>
      <c r="C398" s="12" t="s">
        <v>22</v>
      </c>
      <c r="D398" s="13" t="s">
        <v>91</v>
      </c>
      <c r="E398" s="13" t="s">
        <v>2747</v>
      </c>
    </row>
    <row r="399" spans="1:5" ht="51" x14ac:dyDescent="0.2">
      <c r="A399" s="12" t="s">
        <v>1604</v>
      </c>
      <c r="B399" s="12" t="s">
        <v>2748</v>
      </c>
      <c r="C399" s="12" t="s">
        <v>22</v>
      </c>
      <c r="D399" s="13" t="s">
        <v>91</v>
      </c>
      <c r="E399" s="13" t="s">
        <v>2749</v>
      </c>
    </row>
    <row r="400" spans="1:5" ht="51" x14ac:dyDescent="0.2">
      <c r="A400" s="12" t="s">
        <v>1608</v>
      </c>
      <c r="B400" s="12" t="s">
        <v>2750</v>
      </c>
      <c r="C400" s="12" t="s">
        <v>22</v>
      </c>
      <c r="D400" s="13" t="s">
        <v>91</v>
      </c>
      <c r="E400" s="13" t="s">
        <v>2751</v>
      </c>
    </row>
    <row r="401" spans="1:5" ht="61.2" x14ac:dyDescent="0.2">
      <c r="A401" s="12" t="s">
        <v>1612</v>
      </c>
      <c r="B401" s="12" t="s">
        <v>2752</v>
      </c>
      <c r="C401" s="12" t="s">
        <v>22</v>
      </c>
      <c r="D401" s="13" t="s">
        <v>91</v>
      </c>
      <c r="E401" s="13" t="s">
        <v>2753</v>
      </c>
    </row>
    <row r="402" spans="1:5" ht="51" x14ac:dyDescent="0.2">
      <c r="A402" s="12" t="s">
        <v>1616</v>
      </c>
      <c r="B402" s="12" t="s">
        <v>2754</v>
      </c>
      <c r="C402" s="12" t="s">
        <v>22</v>
      </c>
      <c r="D402" s="13" t="s">
        <v>91</v>
      </c>
      <c r="E402" s="13" t="s">
        <v>2755</v>
      </c>
    </row>
    <row r="403" spans="1:5" ht="61.2" x14ac:dyDescent="0.2">
      <c r="A403" s="12" t="s">
        <v>1620</v>
      </c>
      <c r="B403" s="12" t="s">
        <v>2756</v>
      </c>
      <c r="C403" s="12" t="s">
        <v>22</v>
      </c>
      <c r="D403" s="13" t="s">
        <v>91</v>
      </c>
      <c r="E403" s="13" t="s">
        <v>2757</v>
      </c>
    </row>
    <row r="404" spans="1:5" ht="51" x14ac:dyDescent="0.2">
      <c r="A404" s="12" t="s">
        <v>1624</v>
      </c>
      <c r="B404" s="12" t="s">
        <v>2758</v>
      </c>
      <c r="C404" s="12" t="s">
        <v>22</v>
      </c>
      <c r="D404" s="13" t="s">
        <v>91</v>
      </c>
      <c r="E404" s="13" t="s">
        <v>2759</v>
      </c>
    </row>
    <row r="405" spans="1:5" ht="51" x14ac:dyDescent="0.2">
      <c r="A405" s="12" t="s">
        <v>1628</v>
      </c>
      <c r="B405" s="12" t="s">
        <v>2760</v>
      </c>
      <c r="C405" s="12" t="s">
        <v>22</v>
      </c>
      <c r="D405" s="13" t="s">
        <v>91</v>
      </c>
      <c r="E405" s="13" t="s">
        <v>2761</v>
      </c>
    </row>
    <row r="406" spans="1:5" ht="51" x14ac:dyDescent="0.2">
      <c r="A406" s="12" t="s">
        <v>1632</v>
      </c>
      <c r="B406" s="12" t="s">
        <v>2762</v>
      </c>
      <c r="C406" s="12" t="s">
        <v>22</v>
      </c>
      <c r="D406" s="13" t="s">
        <v>91</v>
      </c>
      <c r="E406" s="13" t="s">
        <v>2763</v>
      </c>
    </row>
    <row r="407" spans="1:5" ht="51" x14ac:dyDescent="0.2">
      <c r="A407" s="12" t="s">
        <v>1636</v>
      </c>
      <c r="B407" s="12" t="s">
        <v>2764</v>
      </c>
      <c r="C407" s="12" t="s">
        <v>22</v>
      </c>
      <c r="D407" s="13" t="s">
        <v>91</v>
      </c>
      <c r="E407" s="13" t="s">
        <v>2765</v>
      </c>
    </row>
    <row r="408" spans="1:5" ht="51" x14ac:dyDescent="0.2">
      <c r="A408" s="12" t="s">
        <v>1640</v>
      </c>
      <c r="B408" s="12" t="s">
        <v>2766</v>
      </c>
      <c r="C408" s="12" t="s">
        <v>22</v>
      </c>
      <c r="D408" s="13" t="s">
        <v>91</v>
      </c>
      <c r="E408" s="13" t="s">
        <v>2767</v>
      </c>
    </row>
    <row r="409" spans="1:5" ht="51" x14ac:dyDescent="0.2">
      <c r="A409" s="12" t="s">
        <v>1644</v>
      </c>
      <c r="B409" s="12" t="s">
        <v>2768</v>
      </c>
      <c r="C409" s="12" t="s">
        <v>22</v>
      </c>
      <c r="D409" s="13" t="s">
        <v>91</v>
      </c>
      <c r="E409" s="13" t="s">
        <v>2769</v>
      </c>
    </row>
    <row r="410" spans="1:5" ht="51" x14ac:dyDescent="0.2">
      <c r="A410" s="12" t="s">
        <v>1648</v>
      </c>
      <c r="B410" s="12" t="s">
        <v>2770</v>
      </c>
      <c r="C410" s="12" t="s">
        <v>22</v>
      </c>
      <c r="D410" s="13" t="s">
        <v>91</v>
      </c>
      <c r="E410" s="13" t="s">
        <v>2771</v>
      </c>
    </row>
    <row r="411" spans="1:5" ht="51" x14ac:dyDescent="0.2">
      <c r="A411" s="12" t="s">
        <v>1652</v>
      </c>
      <c r="B411" s="12" t="s">
        <v>2772</v>
      </c>
      <c r="C411" s="12" t="s">
        <v>22</v>
      </c>
      <c r="D411" s="13" t="s">
        <v>91</v>
      </c>
      <c r="E411" s="13" t="s">
        <v>2773</v>
      </c>
    </row>
    <row r="412" spans="1:5" ht="61.2" x14ac:dyDescent="0.2">
      <c r="A412" s="12" t="s">
        <v>1656</v>
      </c>
      <c r="B412" s="12" t="s">
        <v>2774</v>
      </c>
      <c r="C412" s="12" t="s">
        <v>22</v>
      </c>
      <c r="D412" s="13" t="s">
        <v>91</v>
      </c>
      <c r="E412" s="13" t="s">
        <v>2775</v>
      </c>
    </row>
    <row r="413" spans="1:5" ht="51" x14ac:dyDescent="0.2">
      <c r="A413" s="12" t="s">
        <v>2776</v>
      </c>
      <c r="B413" s="12" t="s">
        <v>2777</v>
      </c>
      <c r="C413" s="12" t="s">
        <v>22</v>
      </c>
      <c r="D413" s="13" t="s">
        <v>91</v>
      </c>
      <c r="E413" s="13" t="s">
        <v>2778</v>
      </c>
    </row>
    <row r="414" spans="1:5" ht="51" x14ac:dyDescent="0.2">
      <c r="A414" s="12" t="s">
        <v>1664</v>
      </c>
      <c r="B414" s="12" t="s">
        <v>2779</v>
      </c>
      <c r="C414" s="12" t="s">
        <v>22</v>
      </c>
      <c r="D414" s="13" t="s">
        <v>91</v>
      </c>
      <c r="E414" s="13" t="s">
        <v>2780</v>
      </c>
    </row>
    <row r="415" spans="1:5" ht="51" x14ac:dyDescent="0.2">
      <c r="A415" s="12" t="s">
        <v>1668</v>
      </c>
      <c r="B415" s="12" t="s">
        <v>2781</v>
      </c>
      <c r="C415" s="12" t="s">
        <v>22</v>
      </c>
      <c r="D415" s="13" t="s">
        <v>91</v>
      </c>
      <c r="E415" s="13" t="s">
        <v>2782</v>
      </c>
    </row>
    <row r="416" spans="1:5" ht="61.2" x14ac:dyDescent="0.2">
      <c r="A416" s="12" t="s">
        <v>1672</v>
      </c>
      <c r="B416" s="12" t="s">
        <v>2783</v>
      </c>
      <c r="C416" s="12" t="s">
        <v>22</v>
      </c>
      <c r="D416" s="13" t="s">
        <v>91</v>
      </c>
      <c r="E416" s="13" t="s">
        <v>2784</v>
      </c>
    </row>
    <row r="417" spans="1:5" ht="51" x14ac:dyDescent="0.2">
      <c r="A417" s="12" t="s">
        <v>1676</v>
      </c>
      <c r="B417" s="12" t="s">
        <v>2785</v>
      </c>
      <c r="C417" s="12" t="s">
        <v>22</v>
      </c>
      <c r="D417" s="13" t="s">
        <v>91</v>
      </c>
      <c r="E417" s="13" t="s">
        <v>2786</v>
      </c>
    </row>
    <row r="418" spans="1:5" ht="51" x14ac:dyDescent="0.2">
      <c r="A418" s="12" t="s">
        <v>1680</v>
      </c>
      <c r="B418" s="12" t="s">
        <v>2787</v>
      </c>
      <c r="C418" s="12" t="s">
        <v>22</v>
      </c>
      <c r="D418" s="13" t="s">
        <v>91</v>
      </c>
      <c r="E418" s="13" t="s">
        <v>2788</v>
      </c>
    </row>
    <row r="419" spans="1:5" ht="51" x14ac:dyDescent="0.2">
      <c r="A419" s="12" t="s">
        <v>1684</v>
      </c>
      <c r="B419" s="12" t="s">
        <v>2789</v>
      </c>
      <c r="C419" s="12" t="s">
        <v>22</v>
      </c>
      <c r="D419" s="13" t="s">
        <v>91</v>
      </c>
      <c r="E419" s="13" t="s">
        <v>2790</v>
      </c>
    </row>
    <row r="420" spans="1:5" ht="51" x14ac:dyDescent="0.2">
      <c r="A420" s="12" t="s">
        <v>1688</v>
      </c>
      <c r="B420" s="12" t="s">
        <v>2791</v>
      </c>
      <c r="C420" s="12" t="s">
        <v>22</v>
      </c>
      <c r="D420" s="13" t="s">
        <v>91</v>
      </c>
      <c r="E420" s="13" t="s">
        <v>2792</v>
      </c>
    </row>
    <row r="421" spans="1:5" ht="61.2" x14ac:dyDescent="0.2">
      <c r="A421" s="12" t="s">
        <v>1692</v>
      </c>
      <c r="B421" s="12" t="s">
        <v>2793</v>
      </c>
      <c r="C421" s="12" t="s">
        <v>22</v>
      </c>
      <c r="D421" s="13" t="s">
        <v>91</v>
      </c>
      <c r="E421" s="13" t="s">
        <v>2794</v>
      </c>
    </row>
    <row r="422" spans="1:5" ht="61.2" x14ac:dyDescent="0.2">
      <c r="A422" s="12" t="s">
        <v>1696</v>
      </c>
      <c r="B422" s="12" t="s">
        <v>2795</v>
      </c>
      <c r="C422" s="12" t="s">
        <v>22</v>
      </c>
      <c r="D422" s="13" t="s">
        <v>91</v>
      </c>
      <c r="E422" s="13" t="s">
        <v>2796</v>
      </c>
    </row>
    <row r="423" spans="1:5" ht="51" x14ac:dyDescent="0.2">
      <c r="A423" s="12" t="s">
        <v>1700</v>
      </c>
      <c r="B423" s="12" t="s">
        <v>2797</v>
      </c>
      <c r="C423" s="12" t="s">
        <v>22</v>
      </c>
      <c r="D423" s="13" t="s">
        <v>91</v>
      </c>
      <c r="E423" s="13" t="s">
        <v>2798</v>
      </c>
    </row>
    <row r="424" spans="1:5" ht="51" x14ac:dyDescent="0.2">
      <c r="A424" s="12" t="s">
        <v>1704</v>
      </c>
      <c r="B424" s="12" t="s">
        <v>2799</v>
      </c>
      <c r="C424" s="12" t="s">
        <v>22</v>
      </c>
      <c r="D424" s="13" t="s">
        <v>91</v>
      </c>
      <c r="E424" s="13" t="s">
        <v>2800</v>
      </c>
    </row>
    <row r="425" spans="1:5" ht="51" x14ac:dyDescent="0.2">
      <c r="A425" s="12" t="s">
        <v>1708</v>
      </c>
      <c r="B425" s="12" t="s">
        <v>2801</v>
      </c>
      <c r="C425" s="12" t="s">
        <v>22</v>
      </c>
      <c r="D425" s="13" t="s">
        <v>91</v>
      </c>
      <c r="E425" s="13" t="s">
        <v>2802</v>
      </c>
    </row>
    <row r="426" spans="1:5" ht="51" x14ac:dyDescent="0.2">
      <c r="A426" s="12" t="s">
        <v>1712</v>
      </c>
      <c r="B426" s="12" t="s">
        <v>2803</v>
      </c>
      <c r="C426" s="12" t="s">
        <v>22</v>
      </c>
      <c r="D426" s="13" t="s">
        <v>91</v>
      </c>
      <c r="E426" s="13" t="s">
        <v>2804</v>
      </c>
    </row>
    <row r="427" spans="1:5" ht="51" x14ac:dyDescent="0.2">
      <c r="A427" s="12" t="s">
        <v>1716</v>
      </c>
      <c r="B427" s="12" t="s">
        <v>2805</v>
      </c>
      <c r="C427" s="12" t="s">
        <v>22</v>
      </c>
      <c r="D427" s="13" t="s">
        <v>91</v>
      </c>
      <c r="E427" s="13" t="s">
        <v>2806</v>
      </c>
    </row>
    <row r="428" spans="1:5" ht="51" x14ac:dyDescent="0.2">
      <c r="A428" s="12" t="s">
        <v>1720</v>
      </c>
      <c r="B428" s="12" t="s">
        <v>2807</v>
      </c>
      <c r="C428" s="12" t="s">
        <v>22</v>
      </c>
      <c r="D428" s="13" t="s">
        <v>91</v>
      </c>
      <c r="E428" s="13" t="s">
        <v>2808</v>
      </c>
    </row>
    <row r="429" spans="1:5" ht="51" x14ac:dyDescent="0.2">
      <c r="A429" s="12" t="s">
        <v>1725</v>
      </c>
      <c r="B429" s="12" t="s">
        <v>2809</v>
      </c>
      <c r="C429" s="12" t="s">
        <v>22</v>
      </c>
      <c r="D429" s="13" t="s">
        <v>91</v>
      </c>
      <c r="E429" s="13" t="s">
        <v>2810</v>
      </c>
    </row>
    <row r="430" spans="1:5" ht="51" x14ac:dyDescent="0.2">
      <c r="A430" s="12" t="s">
        <v>1729</v>
      </c>
      <c r="B430" s="12" t="s">
        <v>2811</v>
      </c>
      <c r="C430" s="12" t="s">
        <v>22</v>
      </c>
      <c r="D430" s="13" t="s">
        <v>91</v>
      </c>
      <c r="E430" s="13" t="s">
        <v>2812</v>
      </c>
    </row>
    <row r="431" spans="1:5" ht="61.2" x14ac:dyDescent="0.2">
      <c r="A431" s="12" t="s">
        <v>1733</v>
      </c>
      <c r="B431" s="12" t="s">
        <v>2813</v>
      </c>
      <c r="C431" s="12" t="s">
        <v>22</v>
      </c>
      <c r="D431" s="13" t="s">
        <v>91</v>
      </c>
      <c r="E431" s="13" t="s">
        <v>2814</v>
      </c>
    </row>
    <row r="432" spans="1:5" ht="51" x14ac:dyDescent="0.2">
      <c r="A432" s="12" t="s">
        <v>1737</v>
      </c>
      <c r="B432" s="12" t="s">
        <v>2815</v>
      </c>
      <c r="C432" s="12" t="s">
        <v>22</v>
      </c>
      <c r="D432" s="13" t="s">
        <v>91</v>
      </c>
      <c r="E432" s="13" t="s">
        <v>2816</v>
      </c>
    </row>
    <row r="433" spans="1:5" ht="61.2" x14ac:dyDescent="0.2">
      <c r="A433" s="12" t="s">
        <v>1741</v>
      </c>
      <c r="B433" s="12" t="s">
        <v>2817</v>
      </c>
      <c r="C433" s="12" t="s">
        <v>22</v>
      </c>
      <c r="D433" s="13" t="s">
        <v>91</v>
      </c>
      <c r="E433" s="13" t="s">
        <v>2818</v>
      </c>
    </row>
    <row r="434" spans="1:5" ht="51" x14ac:dyDescent="0.2">
      <c r="A434" s="12" t="s">
        <v>1745</v>
      </c>
      <c r="B434" s="12" t="s">
        <v>2819</v>
      </c>
      <c r="C434" s="12" t="s">
        <v>22</v>
      </c>
      <c r="D434" s="13" t="s">
        <v>91</v>
      </c>
      <c r="E434" s="13" t="s">
        <v>2820</v>
      </c>
    </row>
    <row r="435" spans="1:5" ht="61.2" x14ac:dyDescent="0.2">
      <c r="A435" s="12" t="s">
        <v>1749</v>
      </c>
      <c r="B435" s="12" t="s">
        <v>2821</v>
      </c>
      <c r="C435" s="12" t="s">
        <v>22</v>
      </c>
      <c r="D435" s="13" t="s">
        <v>91</v>
      </c>
      <c r="E435" s="13" t="s">
        <v>2822</v>
      </c>
    </row>
    <row r="436" spans="1:5" ht="51" x14ac:dyDescent="0.2">
      <c r="A436" s="12" t="s">
        <v>1753</v>
      </c>
      <c r="B436" s="12" t="s">
        <v>2823</v>
      </c>
      <c r="C436" s="12" t="s">
        <v>22</v>
      </c>
      <c r="D436" s="13" t="s">
        <v>91</v>
      </c>
      <c r="E436" s="13" t="s">
        <v>2824</v>
      </c>
    </row>
    <row r="437" spans="1:5" ht="51" x14ac:dyDescent="0.2">
      <c r="A437" s="12" t="s">
        <v>1757</v>
      </c>
      <c r="B437" s="12" t="s">
        <v>2825</v>
      </c>
      <c r="C437" s="12" t="s">
        <v>22</v>
      </c>
      <c r="D437" s="13" t="s">
        <v>91</v>
      </c>
      <c r="E437" s="13" t="s">
        <v>2826</v>
      </c>
    </row>
    <row r="438" spans="1:5" ht="51" x14ac:dyDescent="0.2">
      <c r="A438" s="12" t="s">
        <v>1761</v>
      </c>
      <c r="B438" s="12" t="s">
        <v>2827</v>
      </c>
      <c r="C438" s="12" t="s">
        <v>22</v>
      </c>
      <c r="D438" s="13" t="s">
        <v>91</v>
      </c>
      <c r="E438" s="13" t="s">
        <v>2828</v>
      </c>
    </row>
    <row r="439" spans="1:5" ht="51" x14ac:dyDescent="0.2">
      <c r="A439" s="12" t="s">
        <v>1765</v>
      </c>
      <c r="B439" s="12" t="s">
        <v>2829</v>
      </c>
      <c r="C439" s="12" t="s">
        <v>22</v>
      </c>
      <c r="D439" s="13" t="s">
        <v>91</v>
      </c>
      <c r="E439" s="13" t="s">
        <v>2830</v>
      </c>
    </row>
    <row r="440" spans="1:5" ht="51" x14ac:dyDescent="0.2">
      <c r="A440" s="12" t="s">
        <v>1769</v>
      </c>
      <c r="B440" s="12" t="s">
        <v>2831</v>
      </c>
      <c r="C440" s="12" t="s">
        <v>22</v>
      </c>
      <c r="D440" s="13" t="s">
        <v>91</v>
      </c>
      <c r="E440" s="13" t="s">
        <v>2832</v>
      </c>
    </row>
    <row r="441" spans="1:5" ht="51" x14ac:dyDescent="0.2">
      <c r="A441" s="12" t="s">
        <v>1773</v>
      </c>
      <c r="B441" s="12" t="s">
        <v>2833</v>
      </c>
      <c r="C441" s="12" t="s">
        <v>22</v>
      </c>
      <c r="D441" s="13" t="s">
        <v>91</v>
      </c>
      <c r="E441" s="13" t="s">
        <v>2834</v>
      </c>
    </row>
    <row r="442" spans="1:5" ht="81.599999999999994" x14ac:dyDescent="0.2">
      <c r="A442" s="12" t="s">
        <v>1777</v>
      </c>
      <c r="B442" s="12" t="s">
        <v>2835</v>
      </c>
      <c r="C442" s="12" t="s">
        <v>22</v>
      </c>
      <c r="D442" s="13" t="s">
        <v>91</v>
      </c>
      <c r="E442" s="13" t="s">
        <v>2836</v>
      </c>
    </row>
    <row r="443" spans="1:5" ht="61.2" x14ac:dyDescent="0.2">
      <c r="A443" s="12" t="s">
        <v>1781</v>
      </c>
      <c r="B443" s="12" t="s">
        <v>2837</v>
      </c>
      <c r="C443" s="12" t="s">
        <v>22</v>
      </c>
      <c r="D443" s="13" t="s">
        <v>91</v>
      </c>
      <c r="E443" s="13" t="s">
        <v>2838</v>
      </c>
    </row>
    <row r="444" spans="1:5" ht="51" x14ac:dyDescent="0.2">
      <c r="A444" s="12" t="s">
        <v>1785</v>
      </c>
      <c r="B444" s="12" t="s">
        <v>2839</v>
      </c>
      <c r="C444" s="12" t="s">
        <v>22</v>
      </c>
      <c r="D444" s="13" t="s">
        <v>91</v>
      </c>
      <c r="E444" s="13" t="s">
        <v>2840</v>
      </c>
    </row>
    <row r="445" spans="1:5" ht="51" x14ac:dyDescent="0.2">
      <c r="A445" s="12" t="s">
        <v>1789</v>
      </c>
      <c r="B445" s="12" t="s">
        <v>2841</v>
      </c>
      <c r="C445" s="12" t="s">
        <v>22</v>
      </c>
      <c r="D445" s="13" t="s">
        <v>91</v>
      </c>
      <c r="E445" s="13" t="s">
        <v>2842</v>
      </c>
    </row>
    <row r="446" spans="1:5" ht="51" x14ac:dyDescent="0.2">
      <c r="A446" s="12" t="s">
        <v>1793</v>
      </c>
      <c r="B446" s="12" t="s">
        <v>2843</v>
      </c>
      <c r="C446" s="12" t="s">
        <v>22</v>
      </c>
      <c r="D446" s="13" t="s">
        <v>91</v>
      </c>
      <c r="E446" s="13" t="s">
        <v>2844</v>
      </c>
    </row>
    <row r="447" spans="1:5" ht="71.400000000000006" x14ac:dyDescent="0.2">
      <c r="A447" s="12" t="s">
        <v>1797</v>
      </c>
      <c r="B447" s="12" t="s">
        <v>2845</v>
      </c>
      <c r="C447" s="12" t="s">
        <v>22</v>
      </c>
      <c r="D447" s="13" t="s">
        <v>91</v>
      </c>
      <c r="E447" s="13" t="s">
        <v>2846</v>
      </c>
    </row>
    <row r="448" spans="1:5" ht="51" x14ac:dyDescent="0.2">
      <c r="A448" s="12" t="s">
        <v>1801</v>
      </c>
      <c r="B448" s="12" t="s">
        <v>2847</v>
      </c>
      <c r="C448" s="12" t="s">
        <v>22</v>
      </c>
      <c r="D448" s="13" t="s">
        <v>91</v>
      </c>
      <c r="E448" s="13" t="s">
        <v>2848</v>
      </c>
    </row>
    <row r="449" spans="1:5" ht="71.400000000000006" x14ac:dyDescent="0.2">
      <c r="A449" s="12" t="s">
        <v>1805</v>
      </c>
      <c r="B449" s="12" t="s">
        <v>2849</v>
      </c>
      <c r="C449" s="12" t="s">
        <v>22</v>
      </c>
      <c r="D449" s="13" t="s">
        <v>91</v>
      </c>
      <c r="E449" s="13" t="s">
        <v>2850</v>
      </c>
    </row>
    <row r="450" spans="1:5" ht="51" x14ac:dyDescent="0.2">
      <c r="A450" s="12" t="s">
        <v>1809</v>
      </c>
      <c r="B450" s="12" t="s">
        <v>2851</v>
      </c>
      <c r="C450" s="12" t="s">
        <v>22</v>
      </c>
      <c r="D450" s="13" t="s">
        <v>91</v>
      </c>
      <c r="E450" s="13" t="s">
        <v>2852</v>
      </c>
    </row>
    <row r="451" spans="1:5" ht="61.2" x14ac:dyDescent="0.2">
      <c r="A451" s="12" t="s">
        <v>1813</v>
      </c>
      <c r="B451" s="12" t="s">
        <v>2853</v>
      </c>
      <c r="C451" s="12" t="s">
        <v>22</v>
      </c>
      <c r="D451" s="13" t="s">
        <v>91</v>
      </c>
      <c r="E451" s="13" t="s">
        <v>2854</v>
      </c>
    </row>
    <row r="452" spans="1:5" ht="61.2" x14ac:dyDescent="0.2">
      <c r="A452" s="12" t="s">
        <v>1817</v>
      </c>
      <c r="B452" s="12" t="s">
        <v>2855</v>
      </c>
      <c r="C452" s="12" t="s">
        <v>22</v>
      </c>
      <c r="D452" s="13" t="s">
        <v>91</v>
      </c>
      <c r="E452" s="13" t="s">
        <v>2856</v>
      </c>
    </row>
    <row r="453" spans="1:5" ht="51" x14ac:dyDescent="0.2">
      <c r="A453" s="12" t="s">
        <v>1821</v>
      </c>
      <c r="B453" s="12" t="s">
        <v>2857</v>
      </c>
      <c r="C453" s="12" t="s">
        <v>22</v>
      </c>
      <c r="D453" s="13" t="s">
        <v>91</v>
      </c>
      <c r="E453" s="13" t="s">
        <v>2858</v>
      </c>
    </row>
    <row r="454" spans="1:5" ht="61.2" x14ac:dyDescent="0.2">
      <c r="A454" s="12" t="s">
        <v>1825</v>
      </c>
      <c r="B454" s="12" t="s">
        <v>2859</v>
      </c>
      <c r="C454" s="12" t="s">
        <v>22</v>
      </c>
      <c r="D454" s="13" t="s">
        <v>91</v>
      </c>
      <c r="E454" s="13" t="s">
        <v>2860</v>
      </c>
    </row>
    <row r="455" spans="1:5" ht="51" x14ac:dyDescent="0.2">
      <c r="A455" s="12" t="s">
        <v>1829</v>
      </c>
      <c r="B455" s="12" t="s">
        <v>2861</v>
      </c>
      <c r="C455" s="12" t="s">
        <v>22</v>
      </c>
      <c r="D455" s="13" t="s">
        <v>91</v>
      </c>
      <c r="E455" s="13" t="s">
        <v>2862</v>
      </c>
    </row>
    <row r="456" spans="1:5" ht="51" x14ac:dyDescent="0.2">
      <c r="A456" s="12" t="s">
        <v>1833</v>
      </c>
      <c r="B456" s="12" t="s">
        <v>2863</v>
      </c>
      <c r="C456" s="12" t="s">
        <v>22</v>
      </c>
      <c r="D456" s="13" t="s">
        <v>91</v>
      </c>
      <c r="E456" s="13" t="s">
        <v>2864</v>
      </c>
    </row>
    <row r="457" spans="1:5" ht="61.2" x14ac:dyDescent="0.2">
      <c r="A457" s="12" t="s">
        <v>2865</v>
      </c>
      <c r="B457" s="12" t="s">
        <v>2866</v>
      </c>
      <c r="C457" s="12" t="s">
        <v>22</v>
      </c>
      <c r="D457" s="13" t="s">
        <v>91</v>
      </c>
      <c r="E457" s="13" t="s">
        <v>2867</v>
      </c>
    </row>
    <row r="458" spans="1:5" ht="61.2" x14ac:dyDescent="0.2">
      <c r="A458" s="12" t="s">
        <v>1837</v>
      </c>
      <c r="B458" s="12" t="s">
        <v>2868</v>
      </c>
      <c r="C458" s="12" t="s">
        <v>22</v>
      </c>
      <c r="D458" s="13" t="s">
        <v>91</v>
      </c>
      <c r="E458" s="13" t="s">
        <v>2869</v>
      </c>
    </row>
    <row r="459" spans="1:5" ht="61.2" x14ac:dyDescent="0.2">
      <c r="A459" s="12" t="s">
        <v>1841</v>
      </c>
      <c r="B459" s="12" t="s">
        <v>2870</v>
      </c>
      <c r="C459" s="12" t="s">
        <v>22</v>
      </c>
      <c r="D459" s="13" t="s">
        <v>91</v>
      </c>
      <c r="E459" s="13" t="s">
        <v>2871</v>
      </c>
    </row>
    <row r="460" spans="1:5" ht="51" x14ac:dyDescent="0.2">
      <c r="A460" s="12" t="s">
        <v>1845</v>
      </c>
      <c r="B460" s="12" t="s">
        <v>2872</v>
      </c>
      <c r="C460" s="12" t="s">
        <v>22</v>
      </c>
      <c r="D460" s="13" t="s">
        <v>91</v>
      </c>
      <c r="E460" s="13" t="s">
        <v>2873</v>
      </c>
    </row>
    <row r="461" spans="1:5" ht="51" x14ac:dyDescent="0.2">
      <c r="A461" s="12" t="s">
        <v>1849</v>
      </c>
      <c r="B461" s="12" t="s">
        <v>2874</v>
      </c>
      <c r="C461" s="12" t="s">
        <v>22</v>
      </c>
      <c r="D461" s="13" t="s">
        <v>91</v>
      </c>
      <c r="E461" s="13" t="s">
        <v>2875</v>
      </c>
    </row>
    <row r="462" spans="1:5" ht="51" x14ac:dyDescent="0.2">
      <c r="A462" s="12" t="s">
        <v>1853</v>
      </c>
      <c r="B462" s="12" t="s">
        <v>2876</v>
      </c>
      <c r="C462" s="12" t="s">
        <v>22</v>
      </c>
      <c r="D462" s="13" t="s">
        <v>91</v>
      </c>
      <c r="E462" s="13" t="s">
        <v>2877</v>
      </c>
    </row>
    <row r="463" spans="1:5" ht="61.2" x14ac:dyDescent="0.2">
      <c r="A463" s="12" t="s">
        <v>1857</v>
      </c>
      <c r="B463" s="12" t="s">
        <v>2878</v>
      </c>
      <c r="C463" s="12" t="s">
        <v>22</v>
      </c>
      <c r="D463" s="13" t="s">
        <v>91</v>
      </c>
      <c r="E463" s="13" t="s">
        <v>2879</v>
      </c>
    </row>
    <row r="464" spans="1:5" ht="51" x14ac:dyDescent="0.2">
      <c r="A464" s="12" t="s">
        <v>1861</v>
      </c>
      <c r="B464" s="12" t="s">
        <v>2880</v>
      </c>
      <c r="C464" s="12" t="s">
        <v>22</v>
      </c>
      <c r="D464" s="13" t="s">
        <v>91</v>
      </c>
      <c r="E464" s="13" t="s">
        <v>2881</v>
      </c>
    </row>
    <row r="465" spans="1:5" ht="51" x14ac:dyDescent="0.2">
      <c r="A465" s="12" t="s">
        <v>1865</v>
      </c>
      <c r="B465" s="12" t="s">
        <v>2882</v>
      </c>
      <c r="C465" s="12" t="s">
        <v>22</v>
      </c>
      <c r="D465" s="13" t="s">
        <v>91</v>
      </c>
      <c r="E465" s="13" t="s">
        <v>2883</v>
      </c>
    </row>
    <row r="466" spans="1:5" ht="51" x14ac:dyDescent="0.2">
      <c r="A466" s="12" t="s">
        <v>1869</v>
      </c>
      <c r="B466" s="12" t="s">
        <v>2884</v>
      </c>
      <c r="C466" s="12" t="s">
        <v>22</v>
      </c>
      <c r="D466" s="13" t="s">
        <v>91</v>
      </c>
      <c r="E466" s="13" t="s">
        <v>2885</v>
      </c>
    </row>
    <row r="467" spans="1:5" ht="61.2" x14ac:dyDescent="0.2">
      <c r="A467" s="12" t="s">
        <v>1873</v>
      </c>
      <c r="B467" s="12" t="s">
        <v>2886</v>
      </c>
      <c r="C467" s="12" t="s">
        <v>22</v>
      </c>
      <c r="D467" s="13" t="s">
        <v>91</v>
      </c>
      <c r="E467" s="13" t="s">
        <v>2887</v>
      </c>
    </row>
    <row r="468" spans="1:5" ht="61.2" x14ac:dyDescent="0.2">
      <c r="A468" s="12" t="s">
        <v>1877</v>
      </c>
      <c r="B468" s="12" t="s">
        <v>2888</v>
      </c>
      <c r="C468" s="12" t="s">
        <v>22</v>
      </c>
      <c r="D468" s="13" t="s">
        <v>91</v>
      </c>
      <c r="E468" s="13" t="s">
        <v>2889</v>
      </c>
    </row>
    <row r="469" spans="1:5" ht="61.2" x14ac:dyDescent="0.2">
      <c r="A469" s="12" t="s">
        <v>1881</v>
      </c>
      <c r="B469" s="12" t="s">
        <v>2890</v>
      </c>
      <c r="C469" s="12" t="s">
        <v>22</v>
      </c>
      <c r="D469" s="13" t="s">
        <v>91</v>
      </c>
      <c r="E469" s="13" t="s">
        <v>2891</v>
      </c>
    </row>
    <row r="470" spans="1:5" ht="51" x14ac:dyDescent="0.2">
      <c r="A470" s="12" t="s">
        <v>1885</v>
      </c>
      <c r="B470" s="12" t="s">
        <v>2892</v>
      </c>
      <c r="C470" s="12" t="s">
        <v>22</v>
      </c>
      <c r="D470" s="13" t="s">
        <v>91</v>
      </c>
      <c r="E470" s="13" t="s">
        <v>2893</v>
      </c>
    </row>
    <row r="471" spans="1:5" ht="71.400000000000006" x14ac:dyDescent="0.2">
      <c r="A471" s="12" t="s">
        <v>1889</v>
      </c>
      <c r="B471" s="12" t="s">
        <v>2894</v>
      </c>
      <c r="C471" s="12" t="s">
        <v>22</v>
      </c>
      <c r="D471" s="13" t="s">
        <v>91</v>
      </c>
      <c r="E471" s="13" t="s">
        <v>2895</v>
      </c>
    </row>
    <row r="472" spans="1:5" ht="51" x14ac:dyDescent="0.2">
      <c r="A472" s="12" t="s">
        <v>1893</v>
      </c>
      <c r="B472" s="12" t="s">
        <v>2896</v>
      </c>
      <c r="C472" s="12" t="s">
        <v>22</v>
      </c>
      <c r="D472" s="13" t="s">
        <v>91</v>
      </c>
      <c r="E472" s="13" t="s">
        <v>2897</v>
      </c>
    </row>
    <row r="473" spans="1:5" ht="51" x14ac:dyDescent="0.2">
      <c r="A473" s="12" t="s">
        <v>1897</v>
      </c>
      <c r="B473" s="12" t="s">
        <v>2898</v>
      </c>
      <c r="C473" s="12" t="s">
        <v>22</v>
      </c>
      <c r="D473" s="13" t="s">
        <v>91</v>
      </c>
      <c r="E473" s="13" t="s">
        <v>2899</v>
      </c>
    </row>
    <row r="474" spans="1:5" ht="61.2" x14ac:dyDescent="0.2">
      <c r="A474" s="12" t="s">
        <v>1900</v>
      </c>
      <c r="B474" s="12" t="s">
        <v>2900</v>
      </c>
      <c r="C474" s="12" t="s">
        <v>22</v>
      </c>
      <c r="D474" s="13" t="s">
        <v>91</v>
      </c>
      <c r="E474" s="13" t="s">
        <v>2901</v>
      </c>
    </row>
    <row r="475" spans="1:5" ht="51" x14ac:dyDescent="0.2">
      <c r="A475" s="12" t="s">
        <v>1904</v>
      </c>
      <c r="B475" s="12" t="s">
        <v>2902</v>
      </c>
      <c r="C475" s="12" t="s">
        <v>22</v>
      </c>
      <c r="D475" s="13" t="s">
        <v>91</v>
      </c>
      <c r="E475" s="13" t="s">
        <v>2903</v>
      </c>
    </row>
    <row r="476" spans="1:5" ht="51" x14ac:dyDescent="0.2">
      <c r="A476" s="12" t="s">
        <v>1908</v>
      </c>
      <c r="B476" s="12" t="s">
        <v>2904</v>
      </c>
      <c r="C476" s="12" t="s">
        <v>22</v>
      </c>
      <c r="D476" s="13" t="s">
        <v>91</v>
      </c>
      <c r="E476" s="13" t="s">
        <v>2905</v>
      </c>
    </row>
    <row r="477" spans="1:5" ht="61.2" x14ac:dyDescent="0.2">
      <c r="A477" s="12" t="s">
        <v>1913</v>
      </c>
      <c r="B477" s="12" t="s">
        <v>2906</v>
      </c>
      <c r="C477" s="12" t="s">
        <v>22</v>
      </c>
      <c r="D477" s="13" t="s">
        <v>91</v>
      </c>
      <c r="E477" s="13" t="s">
        <v>2907</v>
      </c>
    </row>
    <row r="478" spans="1:5" ht="51" x14ac:dyDescent="0.2">
      <c r="A478" s="12" t="s">
        <v>1917</v>
      </c>
      <c r="B478" s="12" t="s">
        <v>2908</v>
      </c>
      <c r="C478" s="12" t="s">
        <v>22</v>
      </c>
      <c r="D478" s="13" t="s">
        <v>91</v>
      </c>
      <c r="E478" s="13" t="s">
        <v>2909</v>
      </c>
    </row>
    <row r="479" spans="1:5" ht="51" x14ac:dyDescent="0.2">
      <c r="A479" s="12" t="s">
        <v>1921</v>
      </c>
      <c r="B479" s="12" t="s">
        <v>2910</v>
      </c>
      <c r="C479" s="12" t="s">
        <v>22</v>
      </c>
      <c r="D479" s="13" t="s">
        <v>91</v>
      </c>
      <c r="E479" s="13" t="s">
        <v>2911</v>
      </c>
    </row>
    <row r="480" spans="1:5" ht="61.2" x14ac:dyDescent="0.2">
      <c r="A480" s="12" t="s">
        <v>1925</v>
      </c>
      <c r="B480" s="12" t="s">
        <v>2912</v>
      </c>
      <c r="C480" s="12" t="s">
        <v>22</v>
      </c>
      <c r="D480" s="13" t="s">
        <v>91</v>
      </c>
      <c r="E480" s="13" t="s">
        <v>2913</v>
      </c>
    </row>
    <row r="481" spans="1:5" ht="51" x14ac:dyDescent="0.2">
      <c r="A481" s="12" t="s">
        <v>1929</v>
      </c>
      <c r="B481" s="12" t="s">
        <v>2914</v>
      </c>
      <c r="C481" s="12" t="s">
        <v>22</v>
      </c>
      <c r="D481" s="13" t="s">
        <v>91</v>
      </c>
      <c r="E481" s="13" t="s">
        <v>2915</v>
      </c>
    </row>
    <row r="482" spans="1:5" ht="51" x14ac:dyDescent="0.2">
      <c r="A482" s="12" t="s">
        <v>1933</v>
      </c>
      <c r="B482" s="12" t="s">
        <v>2916</v>
      </c>
      <c r="C482" s="12" t="s">
        <v>22</v>
      </c>
      <c r="D482" s="13" t="s">
        <v>91</v>
      </c>
      <c r="E482" s="13" t="s">
        <v>2917</v>
      </c>
    </row>
    <row r="483" spans="1:5" ht="51" x14ac:dyDescent="0.2">
      <c r="A483" s="12" t="s">
        <v>1937</v>
      </c>
      <c r="B483" s="12" t="s">
        <v>2918</v>
      </c>
      <c r="C483" s="12" t="s">
        <v>22</v>
      </c>
      <c r="D483" s="13" t="s">
        <v>91</v>
      </c>
      <c r="E483" s="13" t="s">
        <v>2919</v>
      </c>
    </row>
    <row r="484" spans="1:5" ht="51" x14ac:dyDescent="0.2">
      <c r="A484" s="12" t="s">
        <v>1941</v>
      </c>
      <c r="B484" s="12" t="s">
        <v>2920</v>
      </c>
      <c r="C484" s="12" t="s">
        <v>22</v>
      </c>
      <c r="D484" s="13" t="s">
        <v>91</v>
      </c>
      <c r="E484" s="13" t="s">
        <v>2921</v>
      </c>
    </row>
    <row r="486" spans="1:5" x14ac:dyDescent="0.2">
      <c r="A486" s="14" t="s">
        <v>2922</v>
      </c>
    </row>
    <row r="487" spans="1:5" x14ac:dyDescent="0.2">
      <c r="A487" s="10" t="s">
        <v>2923</v>
      </c>
    </row>
    <row r="488" spans="1:5" x14ac:dyDescent="0.2">
      <c r="A488" s="10" t="s">
        <v>2924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877F2-6CB1-4241-8DD2-D725D884486D}">
  <dimension ref="A1:B6"/>
  <sheetViews>
    <sheetView workbookViewId="0">
      <selection activeCell="A7" sqref="A7"/>
    </sheetView>
  </sheetViews>
  <sheetFormatPr defaultRowHeight="14.4" x14ac:dyDescent="0.3"/>
  <cols>
    <col min="1" max="1" width="15.44140625" bestFit="1" customWidth="1"/>
  </cols>
  <sheetData>
    <row r="1" spans="1:2" x14ac:dyDescent="0.3">
      <c r="A1" t="s">
        <v>1946</v>
      </c>
      <c r="B1" s="8" t="s">
        <v>1947</v>
      </c>
    </row>
    <row r="2" spans="1:2" x14ac:dyDescent="0.3">
      <c r="A2" t="s">
        <v>1948</v>
      </c>
      <c r="B2" s="8" t="s">
        <v>1949</v>
      </c>
    </row>
    <row r="3" spans="1:2" x14ac:dyDescent="0.3">
      <c r="A3" t="s">
        <v>1950</v>
      </c>
      <c r="B3" s="8" t="s">
        <v>1951</v>
      </c>
    </row>
    <row r="4" spans="1:2" x14ac:dyDescent="0.3">
      <c r="A4" t="s">
        <v>1952</v>
      </c>
    </row>
    <row r="5" spans="1:2" x14ac:dyDescent="0.3">
      <c r="A5" t="s">
        <v>1948</v>
      </c>
      <c r="B5" s="8" t="s">
        <v>1954</v>
      </c>
    </row>
    <row r="6" spans="1:2" x14ac:dyDescent="0.3">
      <c r="A6" t="s">
        <v>1955</v>
      </c>
    </row>
  </sheetData>
  <hyperlinks>
    <hyperlink ref="B1" r:id="rId1" location="1" display="https://research.com/careers/female-ceos-of-the-sp-500 - 1" xr:uid="{1B1F0FF2-040A-4B94-8A00-92C631C31C3E}"/>
    <hyperlink ref="B2" r:id="rId2" display="https://www.50pros.com/fortune500" xr:uid="{9F813701-24FF-473A-983E-C2CD4987D06E}"/>
    <hyperlink ref="B3" r:id="rId3" display="https://en.wikipedia.org/wiki/List_of_chief_executive_officers" xr:uid="{49A6BE27-F61F-44BB-B2FF-1B6C51720739}"/>
    <hyperlink ref="B5" r:id="rId4" display="https://en.wikipedia.org/wiki/List_of_women_CEOs_of_Fortune_500_companies" xr:uid="{99EAA345-7D74-4AC7-9F00-8AD6297B16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Hard coded</vt:lpstr>
      <vt:lpstr>sp500_completed</vt:lpstr>
      <vt:lpstr>Sheet2</vt:lpstr>
      <vt:lpstr>Sheet1</vt:lpstr>
      <vt:lpstr>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Nicky Punt</dc:creator>
  <cp:keywords/>
  <dc:description/>
  <cp:lastModifiedBy>Nicky Punt</cp:lastModifiedBy>
  <cp:revision/>
  <dcterms:created xsi:type="dcterms:W3CDTF">2026-03-09T17:49:15Z</dcterms:created>
  <dcterms:modified xsi:type="dcterms:W3CDTF">2026-04-02T01:00:24Z</dcterms:modified>
  <cp:category/>
  <cp:contentStatus/>
</cp:coreProperties>
</file>